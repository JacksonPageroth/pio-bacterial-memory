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jrproth_uw_edu/Documents/University of Washington/DemingLab/Pioreactor/Shared Pioreactor Docs/"/>
    </mc:Choice>
  </mc:AlternateContent>
  <xr:revisionPtr revIDLastSave="976" documentId="13_ncr:1_{86C1144E-D220-9A49-AE18-6D2AA32D8C06}" xr6:coauthVersionLast="47" xr6:coauthVersionMax="47" xr10:uidLastSave="{04C2CDB7-1878-4998-BD4E-D6F8654881B8}"/>
  <bookViews>
    <workbookView minimized="1" xWindow="0" yWindow="760" windowWidth="30240" windowHeight="18880" firstSheet="1" activeTab="1" xr2:uid="{405BAE1B-FC31-2347-A332-D15C1D36A80D}"/>
  </bookViews>
  <sheets>
    <sheet name="Subculture helper" sheetId="2" r:id="rId1"/>
    <sheet name="Log" sheetId="3" r:id="rId2"/>
    <sheet name="Calibration data" sheetId="1" r:id="rId3"/>
    <sheet name="10-30 calibr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AS8" i="4"/>
  <c r="AR8" i="4"/>
  <c r="AS7" i="4"/>
  <c r="AR7" i="4"/>
  <c r="AS6" i="4"/>
  <c r="AR6" i="4"/>
  <c r="AS5" i="4"/>
  <c r="AR5" i="4"/>
  <c r="G13" i="1"/>
  <c r="H13" i="1"/>
  <c r="L13" i="1"/>
  <c r="AH8" i="4"/>
  <c r="AG8" i="4"/>
  <c r="AH7" i="4"/>
  <c r="AG7" i="4"/>
  <c r="AH6" i="4"/>
  <c r="AG6" i="4"/>
  <c r="AH5" i="4"/>
  <c r="AG5" i="4"/>
  <c r="G12" i="1"/>
  <c r="H12" i="1"/>
  <c r="L12" i="1"/>
  <c r="G11" i="1"/>
  <c r="H11" i="1"/>
  <c r="L11" i="1"/>
  <c r="W6" i="4"/>
  <c r="V6" i="4"/>
  <c r="W5" i="4"/>
  <c r="V5" i="4"/>
  <c r="W4" i="4"/>
  <c r="V4" i="4"/>
  <c r="W3" i="4"/>
  <c r="V3" i="4"/>
  <c r="G10" i="1"/>
  <c r="H10" i="1"/>
  <c r="L10" i="1"/>
  <c r="K7" i="4"/>
  <c r="J7" i="4"/>
  <c r="K6" i="4"/>
  <c r="J6" i="4"/>
  <c r="K5" i="4"/>
  <c r="J5" i="4"/>
  <c r="K4" i="4"/>
  <c r="J4" i="4"/>
  <c r="H2" i="1"/>
  <c r="H3" i="1"/>
  <c r="H4" i="1"/>
  <c r="H5" i="1"/>
  <c r="H6" i="1"/>
  <c r="H7" i="1"/>
  <c r="H8" i="1"/>
  <c r="H9" i="1"/>
  <c r="G3" i="1"/>
  <c r="G2" i="1"/>
  <c r="G4" i="1"/>
  <c r="G5" i="1"/>
  <c r="G6" i="1"/>
  <c r="G7" i="1"/>
  <c r="G8" i="1"/>
  <c r="G9" i="1"/>
  <c r="AF2" i="1"/>
  <c r="AF3" i="1"/>
  <c r="AF4" i="1"/>
  <c r="AF5" i="1"/>
  <c r="AF6" i="1"/>
  <c r="AF7" i="1"/>
  <c r="AF8" i="1"/>
  <c r="AF9" i="1"/>
  <c r="AA2" i="1"/>
  <c r="AA3" i="1"/>
  <c r="AA4" i="1"/>
  <c r="AA5" i="1"/>
  <c r="AA6" i="1"/>
  <c r="AA7" i="1"/>
  <c r="AA8" i="1"/>
  <c r="AA9" i="1"/>
  <c r="V2" i="1"/>
  <c r="V3" i="1"/>
  <c r="V4" i="1"/>
  <c r="V5" i="1"/>
  <c r="V6" i="1"/>
  <c r="V7" i="1"/>
  <c r="V8" i="1"/>
  <c r="V9" i="1"/>
  <c r="Q3" i="1"/>
  <c r="Q2" i="1"/>
  <c r="Q4" i="1"/>
  <c r="Q5" i="1"/>
  <c r="Q6" i="1"/>
  <c r="Q7" i="1"/>
  <c r="Q8" i="1"/>
  <c r="Q9" i="1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B8" i="1"/>
  <c r="AE9" i="1"/>
  <c r="AE7" i="1"/>
  <c r="AE4" i="1"/>
  <c r="AE3" i="1"/>
  <c r="AE5" i="1"/>
  <c r="AE2" i="1"/>
  <c r="AE8" i="1"/>
  <c r="AE6" i="1"/>
  <c r="Z9" i="1"/>
  <c r="Z7" i="1"/>
  <c r="Z4" i="1"/>
  <c r="Z3" i="1"/>
  <c r="Z5" i="1"/>
  <c r="Z2" i="1"/>
  <c r="Z8" i="1"/>
  <c r="Z6" i="1"/>
  <c r="U7" i="1"/>
  <c r="U9" i="1"/>
  <c r="U4" i="1"/>
  <c r="U3" i="1"/>
  <c r="U5" i="1"/>
  <c r="U2" i="1"/>
  <c r="U8" i="1"/>
  <c r="U6" i="1"/>
  <c r="P9" i="1"/>
  <c r="P7" i="1"/>
  <c r="P4" i="1"/>
  <c r="P3" i="1"/>
  <c r="P5" i="1"/>
  <c r="C18" i="1" s="1" a="1"/>
  <c r="C18" i="1" s="1"/>
  <c r="P2" i="1"/>
  <c r="P8" i="1"/>
  <c r="P6" i="1"/>
  <c r="L6" i="1"/>
  <c r="L8" i="1"/>
  <c r="L9" i="1"/>
  <c r="L7" i="1"/>
  <c r="L3" i="1"/>
  <c r="L5" i="1"/>
  <c r="L2" i="1"/>
  <c r="C20" i="1" l="1" a="1"/>
  <c r="C20" i="1" s="1"/>
  <c r="L3" i="3" a="1"/>
  <c r="L3" i="3" s="1"/>
  <c r="C12" i="2" a="1"/>
  <c r="C12" i="2" s="1"/>
  <c r="D5" i="2" s="1"/>
  <c r="E5" i="2" s="1"/>
  <c r="C10" i="2" a="1"/>
  <c r="C10" i="2" s="1"/>
  <c r="D3" i="2" s="1"/>
  <c r="E3" i="2" s="1"/>
  <c r="C11" i="2" a="1"/>
  <c r="C11" i="2" s="1"/>
  <c r="D4" i="2" s="1"/>
  <c r="E4" i="2" s="1"/>
  <c r="C19" i="1" a="1"/>
  <c r="C19" i="1" s="1"/>
  <c r="L4" i="3" a="1"/>
  <c r="L4" i="3" s="1"/>
  <c r="L5" i="3" a="1"/>
  <c r="L5" i="3" s="1"/>
  <c r="L6" i="3" a="1"/>
  <c r="L6" i="3" s="1"/>
  <c r="C21" i="1" a="1"/>
  <c r="C21" i="1" s="1"/>
  <c r="C9" i="2" a="1"/>
  <c r="C9" i="2" s="1"/>
  <c r="D2" i="2" s="1"/>
  <c r="E2" i="2" s="1"/>
  <c r="E38" i="3" l="1"/>
  <c r="F38" i="3" s="1"/>
  <c r="E10" i="3"/>
  <c r="F10" i="3" s="1"/>
  <c r="E2" i="3"/>
  <c r="F2" i="3" s="1"/>
  <c r="E14" i="3"/>
  <c r="F14" i="3" s="1"/>
  <c r="E34" i="3"/>
  <c r="F34" i="3" s="1"/>
  <c r="E22" i="3"/>
  <c r="F22" i="3" s="1"/>
  <c r="E6" i="3"/>
  <c r="F6" i="3" s="1"/>
  <c r="E26" i="3"/>
  <c r="F26" i="3" s="1"/>
  <c r="E42" i="3"/>
  <c r="F42" i="3" s="1"/>
  <c r="E30" i="3"/>
  <c r="F30" i="3" s="1"/>
  <c r="E46" i="3"/>
  <c r="F46" i="3" s="1"/>
  <c r="E18" i="3"/>
  <c r="F18" i="3" s="1"/>
  <c r="E48" i="3"/>
  <c r="F48" i="3" s="1"/>
  <c r="E4" i="3"/>
  <c r="F4" i="3" s="1"/>
  <c r="J48" i="3"/>
  <c r="E8" i="3"/>
  <c r="F8" i="3" s="1"/>
  <c r="E16" i="3"/>
  <c r="F16" i="3" s="1"/>
  <c r="E24" i="3"/>
  <c r="F24" i="3" s="1"/>
  <c r="E32" i="3"/>
  <c r="F32" i="3" s="1"/>
  <c r="E40" i="3"/>
  <c r="F40" i="3" s="1"/>
  <c r="E12" i="3"/>
  <c r="F12" i="3" s="1"/>
  <c r="E20" i="3"/>
  <c r="F20" i="3" s="1"/>
  <c r="E28" i="3"/>
  <c r="F28" i="3" s="1"/>
  <c r="E36" i="3"/>
  <c r="F36" i="3" s="1"/>
  <c r="E44" i="3"/>
  <c r="F44" i="3" s="1"/>
  <c r="E7" i="3"/>
  <c r="F7" i="3" s="1"/>
  <c r="E15" i="3"/>
  <c r="F15" i="3" s="1"/>
  <c r="E23" i="3"/>
  <c r="F23" i="3" s="1"/>
  <c r="E31" i="3"/>
  <c r="F31" i="3" s="1"/>
  <c r="E39" i="3"/>
  <c r="F39" i="3" s="1"/>
  <c r="E3" i="3"/>
  <c r="F3" i="3" s="1"/>
  <c r="E11" i="3"/>
  <c r="F11" i="3" s="1"/>
  <c r="E19" i="3"/>
  <c r="F19" i="3" s="1"/>
  <c r="E27" i="3"/>
  <c r="F27" i="3" s="1"/>
  <c r="E35" i="3"/>
  <c r="F35" i="3" s="1"/>
  <c r="E43" i="3"/>
  <c r="F43" i="3" s="1"/>
  <c r="E47" i="3"/>
  <c r="F47" i="3" s="1"/>
  <c r="E13" i="3"/>
  <c r="F13" i="3" s="1"/>
  <c r="E21" i="3"/>
  <c r="F21" i="3" s="1"/>
  <c r="E29" i="3"/>
  <c r="F29" i="3" s="1"/>
  <c r="E37" i="3"/>
  <c r="F37" i="3" s="1"/>
  <c r="E45" i="3"/>
  <c r="F45" i="3" s="1"/>
  <c r="E5" i="3"/>
  <c r="F5" i="3" s="1"/>
  <c r="J49" i="3"/>
  <c r="E9" i="3"/>
  <c r="F9" i="3" s="1"/>
  <c r="E17" i="3"/>
  <c r="F17" i="3" s="1"/>
  <c r="E25" i="3"/>
  <c r="F25" i="3" s="1"/>
  <c r="E33" i="3"/>
  <c r="F33" i="3" s="1"/>
  <c r="E41" i="3"/>
  <c r="F41" i="3" s="1"/>
  <c r="E49" i="3"/>
  <c r="F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<sst xmlns="http://schemas.openxmlformats.org/spreadsheetml/2006/main" count="2077" uniqueCount="699">
  <si>
    <t>Pioreactor name</t>
  </si>
  <si>
    <t>Step #</t>
  </si>
  <si>
    <t>Pioreactor OD</t>
  </si>
  <si>
    <t>Real OD</t>
  </si>
  <si>
    <t>Sub culture?</t>
  </si>
  <si>
    <t>worker2</t>
  </si>
  <si>
    <t>Real OD threshold:</t>
  </si>
  <si>
    <t>worker3</t>
  </si>
  <si>
    <t>worker4</t>
  </si>
  <si>
    <t>worker5</t>
  </si>
  <si>
    <t>Slope</t>
  </si>
  <si>
    <t>Y-int</t>
  </si>
  <si>
    <t>Worker2</t>
  </si>
  <si>
    <t>Worker3</t>
  </si>
  <si>
    <t>Worker4</t>
  </si>
  <si>
    <t>Worker5</t>
  </si>
  <si>
    <t>Date</t>
  </si>
  <si>
    <t>Subcultured worker 2</t>
  </si>
  <si>
    <t>Subcultured Worker 3</t>
  </si>
  <si>
    <t>Subcultured worker 4</t>
  </si>
  <si>
    <t>10/26/2024  13:48:00 PM</t>
  </si>
  <si>
    <t>Subcultured worker 3</t>
  </si>
  <si>
    <t>Restarted experiment</t>
  </si>
  <si>
    <t>10/30/2024 '13:45:00</t>
  </si>
  <si>
    <t>culture_vol</t>
  </si>
  <si>
    <t>water_vol</t>
  </si>
  <si>
    <t>vial</t>
  </si>
  <si>
    <t>od600_1-1</t>
  </si>
  <si>
    <t>od600_1-2</t>
  </si>
  <si>
    <t>od600_1-3</t>
  </si>
  <si>
    <t>od600_1_avg</t>
  </si>
  <si>
    <t>std</t>
  </si>
  <si>
    <t>od600_2-1</t>
  </si>
  <si>
    <t>od600_2-2</t>
  </si>
  <si>
    <t>od600_2-3</t>
  </si>
  <si>
    <t>od600_2_avg</t>
  </si>
  <si>
    <t>worker2-1</t>
  </si>
  <si>
    <t>worker2-2</t>
  </si>
  <si>
    <t>worker2-3</t>
  </si>
  <si>
    <t>worker2_avg</t>
  </si>
  <si>
    <t>std2</t>
  </si>
  <si>
    <t>worker3-1</t>
  </si>
  <si>
    <t>worker3-2</t>
  </si>
  <si>
    <t>worker3-3</t>
  </si>
  <si>
    <t>worker3_avg</t>
  </si>
  <si>
    <t>Column1</t>
  </si>
  <si>
    <t>worker4-1</t>
  </si>
  <si>
    <t>worker4-2</t>
  </si>
  <si>
    <t>worker4-3</t>
  </si>
  <si>
    <t>worker4_avg</t>
  </si>
  <si>
    <t>Column2</t>
  </si>
  <si>
    <t>worker5-1</t>
  </si>
  <si>
    <t>worker5-2</t>
  </si>
  <si>
    <t>worker5-3</t>
  </si>
  <si>
    <t>worker5_avg</t>
  </si>
  <si>
    <t>Column3</t>
  </si>
  <si>
    <t>R1S3 10/30 stirred test 1</t>
  </si>
  <si>
    <t>R1S3 10/30 stirred test 2</t>
  </si>
  <si>
    <t>R1S3 10/30 stirred test 3</t>
  </si>
  <si>
    <t>R1S3 10/30 stirred test 4</t>
  </si>
  <si>
    <t>timestamp_localtime</t>
  </si>
  <si>
    <t>experiment</t>
  </si>
  <si>
    <t>pioreactor_unit</t>
  </si>
  <si>
    <t>timestamp</t>
  </si>
  <si>
    <t>od_reading</t>
  </si>
  <si>
    <t>angle</t>
  </si>
  <si>
    <t>channel</t>
  </si>
  <si>
    <t>avg od</t>
  </si>
  <si>
    <t>Calibration3</t>
  </si>
  <si>
    <t>2024-10-30T16:46:31.980877Z</t>
  </si>
  <si>
    <t>2024-10-30T17:26:41.623946Z</t>
  </si>
  <si>
    <t>2024-10-30T18:04:01.577463Z</t>
  </si>
  <si>
    <t>2024-10-30T18:31:30.990493Z</t>
  </si>
  <si>
    <t>2024-10-30T16:46:36.972777Z</t>
  </si>
  <si>
    <t>2024-10-30T17:26:46.615564Z</t>
  </si>
  <si>
    <t>2024-10-30T18:04:06.569257Z</t>
  </si>
  <si>
    <t>2024-10-30T18:31:35.982281Z</t>
  </si>
  <si>
    <t>2024-10-30T16:46:41.972276Z</t>
  </si>
  <si>
    <t>2024-10-30T17:26:51.620126Z</t>
  </si>
  <si>
    <t>2024-10-30T18:04:11.569189Z</t>
  </si>
  <si>
    <t>2024-10-30T18:31:40.987784Z</t>
  </si>
  <si>
    <t>2024-10-30T16:46:46.972509Z</t>
  </si>
  <si>
    <t>2024-10-30T17:26:56.620965Z</t>
  </si>
  <si>
    <t>2024-10-30T18:04:16.569339Z</t>
  </si>
  <si>
    <t>2024-10-30T18:31:45.982859Z</t>
  </si>
  <si>
    <t>2024-10-30T16:46:51.972810Z</t>
  </si>
  <si>
    <t>2024-10-30T17:27:01.615899Z</t>
  </si>
  <si>
    <t>2024-10-30T18:04:21.569359Z</t>
  </si>
  <si>
    <t>2024-10-30T18:31:50.982566Z</t>
  </si>
  <si>
    <t>2024-10-30T16:46:56.974408Z</t>
  </si>
  <si>
    <t>2024-10-30T17:27:06.615639Z</t>
  </si>
  <si>
    <t>2024-10-30T18:04:26.570134Z</t>
  </si>
  <si>
    <t>2024-10-30T18:31:55.982508Z</t>
  </si>
  <si>
    <t>2024-10-30T16:47:01.974454Z</t>
  </si>
  <si>
    <t>2024-10-30T17:27:11.615617Z</t>
  </si>
  <si>
    <t>2024-10-30T18:04:31.569540Z</t>
  </si>
  <si>
    <t>2024-10-30T18:32:00.982388Z</t>
  </si>
  <si>
    <t>2024-10-30T16:47:06.971767Z</t>
  </si>
  <si>
    <t>2024-10-30T17:27:16.618897Z</t>
  </si>
  <si>
    <t>2024-10-30T18:04:36.569145Z</t>
  </si>
  <si>
    <t>2024-10-30T18:32:05.984122Z</t>
  </si>
  <si>
    <t>2024-10-30T16:47:11.972328Z</t>
  </si>
  <si>
    <t>2024-10-30T17:27:21.615181Z</t>
  </si>
  <si>
    <t>2024-10-30T18:04:41.569314Z</t>
  </si>
  <si>
    <t>2024-10-30T18:32:10.982528Z</t>
  </si>
  <si>
    <t>2024-10-30T16:47:16.973148Z</t>
  </si>
  <si>
    <t>2024-10-30T17:27:26.615546Z</t>
  </si>
  <si>
    <t>2024-10-30T18:04:46.570149Z</t>
  </si>
  <si>
    <t>2024-10-30T18:32:15.985980Z</t>
  </si>
  <si>
    <t>2024-10-30T16:47:21.974402Z</t>
  </si>
  <si>
    <t>2024-10-30T17:27:31.615693Z</t>
  </si>
  <si>
    <t>2024-10-30T18:04:51.569330Z</t>
  </si>
  <si>
    <t>2024-10-30T18:32:20.982646Z</t>
  </si>
  <si>
    <t>2024-10-30T16:47:26.972246Z</t>
  </si>
  <si>
    <t>2024-10-30T17:27:36.615918Z</t>
  </si>
  <si>
    <t>2024-10-30T18:04:56.569467Z</t>
  </si>
  <si>
    <t>2024-10-30T18:32:25.982848Z</t>
  </si>
  <si>
    <t>2024-10-30T16:47:31.972626Z</t>
  </si>
  <si>
    <t>2024-10-30T17:27:41.615372Z</t>
  </si>
  <si>
    <t>2024-10-30T18:05:01.570561Z</t>
  </si>
  <si>
    <t>2024-10-30T18:32:30.982667Z</t>
  </si>
  <si>
    <t>2024-10-30T16:47:36.972245Z</t>
  </si>
  <si>
    <t>2024-10-30T17:27:46.615538Z</t>
  </si>
  <si>
    <t>2024-10-30T18:05:06.569208Z</t>
  </si>
  <si>
    <t>2024-10-30T18:32:35.982587Z</t>
  </si>
  <si>
    <t>2024-10-30T16:47:41.972265Z</t>
  </si>
  <si>
    <t>2024-10-30T17:27:51.615628Z</t>
  </si>
  <si>
    <t>2024-10-30T18:05:11.572522Z</t>
  </si>
  <si>
    <t>2024-10-30T18:32:40.982742Z</t>
  </si>
  <si>
    <t>2024-10-30T16:47:46.973078Z</t>
  </si>
  <si>
    <t>2024-10-30T17:27:56.615611Z</t>
  </si>
  <si>
    <t>2024-10-30T18:05:16.569495Z</t>
  </si>
  <si>
    <t>2024-10-30T18:32:45.982350Z</t>
  </si>
  <si>
    <t>2024-10-30T16:47:51.972295Z</t>
  </si>
  <si>
    <t>2024-10-30T17:28:01.615610Z</t>
  </si>
  <si>
    <t>2024-10-30T18:05:21.569500Z</t>
  </si>
  <si>
    <t>2024-10-30T18:32:50.983064Z</t>
  </si>
  <si>
    <t>2024-10-30T16:47:56.972397Z</t>
  </si>
  <si>
    <t>2024-10-30T17:28:06.618501Z</t>
  </si>
  <si>
    <t>2024-10-30T18:05:26.569679Z</t>
  </si>
  <si>
    <t>2024-10-30T18:32:55.982526Z</t>
  </si>
  <si>
    <t>2024-10-30T16:48:01.972168Z</t>
  </si>
  <si>
    <t>2024-10-30T17:28:11.615938Z</t>
  </si>
  <si>
    <t>2024-10-30T18:05:31.569487Z</t>
  </si>
  <si>
    <t>2024-10-30T18:33:00.983447Z</t>
  </si>
  <si>
    <t>2024-10-30T16:48:06.972243Z</t>
  </si>
  <si>
    <t>2024-10-30T17:28:16.615596Z</t>
  </si>
  <si>
    <t>2024-10-30T18:05:36.572147Z</t>
  </si>
  <si>
    <t>2024-10-30T18:33:05.983956Z</t>
  </si>
  <si>
    <t>2024-10-30T16:48:11.975141Z</t>
  </si>
  <si>
    <t>2024-10-30T17:28:21.615419Z</t>
  </si>
  <si>
    <t>2024-10-30T18:05:41.569582Z</t>
  </si>
  <si>
    <t>2024-10-30T18:33:10.982744Z</t>
  </si>
  <si>
    <t>2024-10-30T16:48:16.972387Z</t>
  </si>
  <si>
    <t>2024-10-30T17:28:26.615620Z</t>
  </si>
  <si>
    <t>2024-10-30T18:05:46.569560Z</t>
  </si>
  <si>
    <t>2024-10-30T18:33:15.986030Z</t>
  </si>
  <si>
    <t>2024-10-30T16:48:21.972223Z</t>
  </si>
  <si>
    <t>2024-10-30T17:28:31.617149Z</t>
  </si>
  <si>
    <t>2024-10-30T18:05:51.570114Z</t>
  </si>
  <si>
    <t>2024-10-30T18:33:20.982608Z</t>
  </si>
  <si>
    <t>2024-10-30T16:48:26.972675Z</t>
  </si>
  <si>
    <t>2024-10-30T17:28:36.615991Z</t>
  </si>
  <si>
    <t>2024-10-30T18:05:56.569765Z</t>
  </si>
  <si>
    <t>2024-10-30T18:33:25.982812Z</t>
  </si>
  <si>
    <t>2024-10-30T16:48:31.972702Z</t>
  </si>
  <si>
    <t>2024-10-30T17:28:41.615963Z</t>
  </si>
  <si>
    <t>2024-10-30T18:06:01.570289Z</t>
  </si>
  <si>
    <t>2024-10-30T18:33:30.982906Z</t>
  </si>
  <si>
    <t>2024-10-30T16:48:36.974592Z</t>
  </si>
  <si>
    <t>2024-10-30T17:28:46.616391Z</t>
  </si>
  <si>
    <t>2024-10-30T18:06:06.570308Z</t>
  </si>
  <si>
    <t>2024-10-30T18:33:35.982808Z</t>
  </si>
  <si>
    <t>2024-10-30T16:48:41.972498Z</t>
  </si>
  <si>
    <t>2024-10-30T17:28:51.615961Z</t>
  </si>
  <si>
    <t>2024-10-30T18:06:11.573671Z</t>
  </si>
  <si>
    <t>2024-10-30T18:33:40.982574Z</t>
  </si>
  <si>
    <t>2024-10-30T16:49:09.912841Z</t>
  </si>
  <si>
    <t>2024-10-30T17:28:56.615625Z</t>
  </si>
  <si>
    <t>2024-10-30T18:06:16.569565Z</t>
  </si>
  <si>
    <t>2024-10-30T18:33:45.982586Z</t>
  </si>
  <si>
    <t>2024-10-30T16:49:14.905378Z</t>
  </si>
  <si>
    <t>2024-10-30T17:29:01.615882Z</t>
  </si>
  <si>
    <t>2024-10-30T18:06:21.569532Z</t>
  </si>
  <si>
    <t>2024-10-30T18:33:50.985177Z</t>
  </si>
  <si>
    <t>2024-10-30T16:49:19.905469Z</t>
  </si>
  <si>
    <t>2024-10-30T17:29:06.615674Z</t>
  </si>
  <si>
    <t>2024-10-30T18:06:26.569891Z</t>
  </si>
  <si>
    <t>2024-10-30T18:33:55.982715Z</t>
  </si>
  <si>
    <t>2024-10-30T16:49:24.905185Z</t>
  </si>
  <si>
    <t>2024-10-30T17:29:11.615564Z</t>
  </si>
  <si>
    <t>2024-10-30T18:06:31.569688Z</t>
  </si>
  <si>
    <t>2024-10-30T18:34:00.982403Z</t>
  </si>
  <si>
    <t>2024-10-30T16:49:29.905208Z</t>
  </si>
  <si>
    <t>2024-10-30T17:29:16.616295Z</t>
  </si>
  <si>
    <t>2024-10-30T18:06:36.570966Z</t>
  </si>
  <si>
    <t>2024-10-30T18:34:05.982634Z</t>
  </si>
  <si>
    <t>2024-10-30T16:49:34.905085Z</t>
  </si>
  <si>
    <t>2024-10-30T17:29:21.616807Z</t>
  </si>
  <si>
    <t>2024-10-30T18:06:41.570761Z</t>
  </si>
  <si>
    <t>2024-10-30T18:34:10.982516Z</t>
  </si>
  <si>
    <t>2024-10-30T16:49:39.908069Z</t>
  </si>
  <si>
    <t>2024-10-30T17:29:46.973340Z</t>
  </si>
  <si>
    <t>2024-10-30T18:06:46.569823Z</t>
  </si>
  <si>
    <t>2024-10-30T18:34:15.982406Z</t>
  </si>
  <si>
    <t>2024-10-30T16:49:44.909094Z</t>
  </si>
  <si>
    <t>2024-10-30T17:29:51.965063Z</t>
  </si>
  <si>
    <t>2024-10-30T18:06:51.569746Z</t>
  </si>
  <si>
    <t>2024-10-30T18:34:20.982747Z</t>
  </si>
  <si>
    <t>2024-10-30T16:49:49.905084Z</t>
  </si>
  <si>
    <t>2024-10-30T17:29:56.965208Z</t>
  </si>
  <si>
    <t>2024-10-30T18:06:56.570121Z</t>
  </si>
  <si>
    <t>2024-10-30T18:34:25.983148Z</t>
  </si>
  <si>
    <t>2024-10-30T16:49:54.905061Z</t>
  </si>
  <si>
    <t>2024-10-30T17:30:01.965185Z</t>
  </si>
  <si>
    <t>2024-10-30T18:07:01.569800Z</t>
  </si>
  <si>
    <t>2024-10-30T18:34:30.982839Z</t>
  </si>
  <si>
    <t>2024-10-30T16:49:59.907705Z</t>
  </si>
  <si>
    <t>2024-10-30T17:30:06.965108Z</t>
  </si>
  <si>
    <t>2024-10-30T18:07:06.573470Z</t>
  </si>
  <si>
    <t>2024-10-30T18:34:50.300962Z</t>
  </si>
  <si>
    <t>2024-10-30T16:50:04.904983Z</t>
  </si>
  <si>
    <t>2024-10-30T17:30:11.966516Z</t>
  </si>
  <si>
    <t>2024-10-30T18:07:11.569400Z</t>
  </si>
  <si>
    <t>2024-10-30T18:34:55.298246Z</t>
  </si>
  <si>
    <t>2024-10-30T16:50:09.905181Z</t>
  </si>
  <si>
    <t>2024-10-30T17:30:16.965202Z</t>
  </si>
  <si>
    <t>2024-10-30T18:07:16.569481Z</t>
  </si>
  <si>
    <t>2024-10-30T18:35:00.293189Z</t>
  </si>
  <si>
    <t>2024-10-30T16:50:14.904962Z</t>
  </si>
  <si>
    <t>2024-10-30T17:30:21.968254Z</t>
  </si>
  <si>
    <t>2024-10-30T18:07:21.571961Z</t>
  </si>
  <si>
    <t>2024-10-30T18:35:05.293183Z</t>
  </si>
  <si>
    <t>2024-10-30T16:50:19.909743Z</t>
  </si>
  <si>
    <t>2024-10-30T17:30:26.964958Z</t>
  </si>
  <si>
    <t>2024-10-30T18:07:26.569497Z</t>
  </si>
  <si>
    <t>2024-10-30T18:35:10.296863Z</t>
  </si>
  <si>
    <t>2024-10-30T16:50:24.905970Z</t>
  </si>
  <si>
    <t>2024-10-30T17:30:31.965955Z</t>
  </si>
  <si>
    <t>2024-10-30T18:07:31.571855Z</t>
  </si>
  <si>
    <t>2024-10-30T18:35:15.293050Z</t>
  </si>
  <si>
    <t>2024-10-30T16:50:29.905901Z</t>
  </si>
  <si>
    <t>2024-10-30T17:30:36.964742Z</t>
  </si>
  <si>
    <t>2024-10-30T18:07:36.569705Z</t>
  </si>
  <si>
    <t>2024-10-30T18:35:20.295740Z</t>
  </si>
  <si>
    <t>2024-10-30T16:50:34.905908Z</t>
  </si>
  <si>
    <t>2024-10-30T17:30:41.964672Z</t>
  </si>
  <si>
    <t>2024-10-30T18:07:41.569327Z</t>
  </si>
  <si>
    <t>2024-10-30T18:35:25.293246Z</t>
  </si>
  <si>
    <t>2024-10-30T16:50:39.905514Z</t>
  </si>
  <si>
    <t>2024-10-30T17:30:46.964917Z</t>
  </si>
  <si>
    <t>2024-10-30T18:07:46.569841Z</t>
  </si>
  <si>
    <t>2024-10-30T18:35:30.297327Z</t>
  </si>
  <si>
    <t>2024-10-30T16:50:44.905477Z</t>
  </si>
  <si>
    <t>2024-10-30T17:30:51.964626Z</t>
  </si>
  <si>
    <t>2024-10-30T18:07:51.569531Z</t>
  </si>
  <si>
    <t>2024-10-30T18:35:35.293263Z</t>
  </si>
  <si>
    <t>2024-10-30T16:50:49.906243Z</t>
  </si>
  <si>
    <t>2024-10-30T17:30:56.965824Z</t>
  </si>
  <si>
    <t>2024-10-30T18:07:56.569399Z</t>
  </si>
  <si>
    <t>2024-10-30T18:35:40.293345Z</t>
  </si>
  <si>
    <t>2024-10-30T16:50:54.905043Z</t>
  </si>
  <si>
    <t>2024-10-30T17:31:01.964459Z</t>
  </si>
  <si>
    <t>2024-10-30T18:08:01.569648Z</t>
  </si>
  <si>
    <t>2024-10-30T18:35:45.293430Z</t>
  </si>
  <si>
    <t>2024-10-30T16:50:59.905090Z</t>
  </si>
  <si>
    <t>2024-10-30T17:31:06.964552Z</t>
  </si>
  <si>
    <t>2024-10-30T18:08:06.569765Z</t>
  </si>
  <si>
    <t>2024-10-30T18:35:50.293161Z</t>
  </si>
  <si>
    <t>2024-10-30T16:51:04.906514Z</t>
  </si>
  <si>
    <t>2024-10-30T17:31:11.964942Z</t>
  </si>
  <si>
    <t>2024-10-30T18:08:11.569982Z</t>
  </si>
  <si>
    <t>2024-10-30T18:35:55.293408Z</t>
  </si>
  <si>
    <t>2024-10-30T16:51:09.905086Z</t>
  </si>
  <si>
    <t>2024-10-30T17:31:16.965230Z</t>
  </si>
  <si>
    <t>2024-10-30T18:08:16.571534Z</t>
  </si>
  <si>
    <t>2024-10-30T18:36:00.295019Z</t>
  </si>
  <si>
    <t>2024-10-30T16:51:14.905269Z</t>
  </si>
  <si>
    <t>2024-10-30T17:31:21.966137Z</t>
  </si>
  <si>
    <t>2024-10-30T18:08:21.570052Z</t>
  </si>
  <si>
    <t>2024-10-30T18:36:05.293545Z</t>
  </si>
  <si>
    <t>2024-10-30T16:51:19.905069Z</t>
  </si>
  <si>
    <t>2024-10-30T17:31:26.964888Z</t>
  </si>
  <si>
    <t>2024-10-30T18:08:26.569678Z</t>
  </si>
  <si>
    <t>2024-10-30T18:36:10.293499Z</t>
  </si>
  <si>
    <t>2024-10-30T16:51:24.905074Z</t>
  </si>
  <si>
    <t>2024-10-30T17:31:31.964925Z</t>
  </si>
  <si>
    <t>2024-10-30T18:08:31.571163Z</t>
  </si>
  <si>
    <t>2024-10-30T18:36:15.293414Z</t>
  </si>
  <si>
    <t>2024-10-30T16:51:29.905074Z</t>
  </si>
  <si>
    <t>2024-10-30T17:31:36.964631Z</t>
  </si>
  <si>
    <t>2024-10-30T18:08:36.569421Z</t>
  </si>
  <si>
    <t>2024-10-30T18:36:20.293702Z</t>
  </si>
  <si>
    <t>2024-10-30T16:51:34.904856Z</t>
  </si>
  <si>
    <t>2024-10-30T17:31:41.964669Z</t>
  </si>
  <si>
    <t>2024-10-30T18:08:41.570088Z</t>
  </si>
  <si>
    <t>2024-10-30T18:36:25.293592Z</t>
  </si>
  <si>
    <t>2024-10-30T16:51:39.905122Z</t>
  </si>
  <si>
    <t>2024-10-30T17:31:46.964741Z</t>
  </si>
  <si>
    <t>2024-10-30T18:08:46.570081Z</t>
  </si>
  <si>
    <t>2024-10-30T18:36:30.293476Z</t>
  </si>
  <si>
    <t>2024-10-30T16:51:44.905051Z</t>
  </si>
  <si>
    <t>2024-10-30T17:32:11.878675Z</t>
  </si>
  <si>
    <t>2024-10-30T18:09:14.588005Z</t>
  </si>
  <si>
    <t>2024-10-30T18:36:35.293534Z</t>
  </si>
  <si>
    <t>2024-10-30T16:51:49.904777Z</t>
  </si>
  <si>
    <t>2024-10-30T17:32:16.871434Z</t>
  </si>
  <si>
    <t>2024-10-30T18:09:19.578049Z</t>
  </si>
  <si>
    <t>2024-10-30T18:37:00.071854Z</t>
  </si>
  <si>
    <t>2024-10-30T16:51:54.905104Z</t>
  </si>
  <si>
    <t>2024-10-30T17:32:21.871290Z</t>
  </si>
  <si>
    <t>2024-10-30T18:09:24.578157Z</t>
  </si>
  <si>
    <t>2024-10-30T18:37:05.063065Z</t>
  </si>
  <si>
    <t>2024-10-30T16:51:59.905130Z</t>
  </si>
  <si>
    <t>2024-10-30T17:32:26.871077Z</t>
  </si>
  <si>
    <t>2024-10-30T18:09:29.578310Z</t>
  </si>
  <si>
    <t>2024-10-30T18:37:10.063071Z</t>
  </si>
  <si>
    <t>2024-10-30T16:52:04.905225Z</t>
  </si>
  <si>
    <t>2024-10-30T17:32:31.871181Z</t>
  </si>
  <si>
    <t>2024-10-30T18:09:34.578214Z</t>
  </si>
  <si>
    <t>2024-10-30T18:37:15.063434Z</t>
  </si>
  <si>
    <t>2024-10-30T16:52:09.905008Z</t>
  </si>
  <si>
    <t>2024-10-30T17:32:36.871202Z</t>
  </si>
  <si>
    <t>2024-10-30T18:09:39.579748Z</t>
  </si>
  <si>
    <t>2024-10-30T18:37:20.063095Z</t>
  </si>
  <si>
    <t>2024-10-30T16:52:14.906742Z</t>
  </si>
  <si>
    <t>2024-10-30T17:32:41.872018Z</t>
  </si>
  <si>
    <t>2024-10-30T18:09:44.578678Z</t>
  </si>
  <si>
    <t>2024-10-30T18:37:25.064763Z</t>
  </si>
  <si>
    <t>2024-10-30T16:52:19.906498Z</t>
  </si>
  <si>
    <t>2024-10-30T17:32:46.872429Z</t>
  </si>
  <si>
    <t>2024-10-30T18:09:49.578607Z</t>
  </si>
  <si>
    <t>2024-10-30T18:37:30.063974Z</t>
  </si>
  <si>
    <t>2024-10-30T16:52:45.929534Z</t>
  </si>
  <si>
    <t>2024-10-30T17:32:51.871114Z</t>
  </si>
  <si>
    <t>2024-10-30T18:09:54.578852Z</t>
  </si>
  <si>
    <t>2024-10-30T18:37:35.063610Z</t>
  </si>
  <si>
    <t>2024-10-30T16:52:50.921970Z</t>
  </si>
  <si>
    <t>2024-10-30T17:32:56.871324Z</t>
  </si>
  <si>
    <t>2024-10-30T18:09:59.578435Z</t>
  </si>
  <si>
    <t>2024-10-30T18:37:40.063551Z</t>
  </si>
  <si>
    <t>2024-10-30T16:52:55.921933Z</t>
  </si>
  <si>
    <t>2024-10-30T17:33:01.870812Z</t>
  </si>
  <si>
    <t>2024-10-30T18:10:04.578665Z</t>
  </si>
  <si>
    <t>2024-10-30T18:37:45.063576Z</t>
  </si>
  <si>
    <t>2024-10-30T16:53:00.922948Z</t>
  </si>
  <si>
    <t>2024-10-30T17:33:06.871332Z</t>
  </si>
  <si>
    <t>2024-10-30T18:10:09.580539Z</t>
  </si>
  <si>
    <t>2024-10-30T18:37:50.063568Z</t>
  </si>
  <si>
    <t>2024-10-30T16:53:05.921705Z</t>
  </si>
  <si>
    <t>2024-10-30T17:33:11.871066Z</t>
  </si>
  <si>
    <t>2024-10-30T18:10:14.578272Z</t>
  </si>
  <si>
    <t>2024-10-30T18:37:55.063131Z</t>
  </si>
  <si>
    <t>2024-10-30T16:53:10.921648Z</t>
  </si>
  <si>
    <t>2024-10-30T17:33:16.871638Z</t>
  </si>
  <si>
    <t>2024-10-30T18:10:19.578060Z</t>
  </si>
  <si>
    <t>2024-10-30T18:38:00.064322Z</t>
  </si>
  <si>
    <t>2024-10-30T16:53:15.925729Z</t>
  </si>
  <si>
    <t>2024-10-30T17:33:21.872887Z</t>
  </si>
  <si>
    <t>2024-10-30T18:10:24.578178Z</t>
  </si>
  <si>
    <t>2024-10-30T18:38:05.066003Z</t>
  </si>
  <si>
    <t>2024-10-30T16:53:20.921767Z</t>
  </si>
  <si>
    <t>2024-10-30T17:33:26.871428Z</t>
  </si>
  <si>
    <t>2024-10-30T18:10:29.579494Z</t>
  </si>
  <si>
    <t>2024-10-30T18:38:10.063485Z</t>
  </si>
  <si>
    <t>2024-10-30T16:53:25.921925Z</t>
  </si>
  <si>
    <t>2024-10-30T17:33:31.871740Z</t>
  </si>
  <si>
    <t>2024-10-30T18:10:34.578459Z</t>
  </si>
  <si>
    <t>2024-10-30T18:38:15.063645Z</t>
  </si>
  <si>
    <t>2024-10-30T16:53:30.921819Z</t>
  </si>
  <si>
    <t>2024-10-30T17:33:36.871333Z</t>
  </si>
  <si>
    <t>2024-10-30T18:10:39.579919Z</t>
  </si>
  <si>
    <t>2024-10-30T18:38:20.064543Z</t>
  </si>
  <si>
    <t>2024-10-30T16:53:35.921628Z</t>
  </si>
  <si>
    <t>2024-10-30T17:33:41.872697Z</t>
  </si>
  <si>
    <t>2024-10-30T18:10:44.578382Z</t>
  </si>
  <si>
    <t>2024-10-30T18:38:25.065166Z</t>
  </si>
  <si>
    <t>2024-10-30T16:53:40.921960Z</t>
  </si>
  <si>
    <t>2024-10-30T17:33:46.871608Z</t>
  </si>
  <si>
    <t>2024-10-30T18:10:49.578393Z</t>
  </si>
  <si>
    <t>2024-10-30T18:38:30.063215Z</t>
  </si>
  <si>
    <t>2024-10-30T16:53:45.922088Z</t>
  </si>
  <si>
    <t>2024-10-30T17:33:51.871710Z</t>
  </si>
  <si>
    <t>2024-10-30T18:10:54.578432Z</t>
  </si>
  <si>
    <t>2024-10-30T18:38:35.063242Z</t>
  </si>
  <si>
    <t>2024-10-30T16:53:50.923516Z</t>
  </si>
  <si>
    <t>2024-10-30T17:33:56.871418Z</t>
  </si>
  <si>
    <t>2024-10-30T18:10:59.578411Z</t>
  </si>
  <si>
    <t>2024-10-30T18:38:40.063595Z</t>
  </si>
  <si>
    <t>2024-10-30T16:53:55.922051Z</t>
  </si>
  <si>
    <t>2024-10-30T17:34:01.871465Z</t>
  </si>
  <si>
    <t>2024-10-30T18:11:04.578102Z</t>
  </si>
  <si>
    <t>2024-10-30T18:38:45.063254Z</t>
  </si>
  <si>
    <t>2024-10-30T16:54:00.922415Z</t>
  </si>
  <si>
    <t>2024-10-30T17:34:06.873736Z</t>
  </si>
  <si>
    <t>2024-10-30T18:11:09.580042Z</t>
  </si>
  <si>
    <t>2024-10-30T18:38:50.063665Z</t>
  </si>
  <si>
    <t>2024-10-30T16:54:05.921999Z</t>
  </si>
  <si>
    <t>2024-10-30T17:34:11.871888Z</t>
  </si>
  <si>
    <t>2024-10-30T18:11:14.578850Z</t>
  </si>
  <si>
    <t>2024-10-30T18:38:55.063717Z</t>
  </si>
  <si>
    <t>2024-10-30T16:54:10.921805Z</t>
  </si>
  <si>
    <t>2024-10-30T17:34:16.873530Z</t>
  </si>
  <si>
    <t>2024-10-30T18:11:19.578510Z</t>
  </si>
  <si>
    <t>2024-10-30T18:39:00.063793Z</t>
  </si>
  <si>
    <t>2024-10-30T16:54:15.922099Z</t>
  </si>
  <si>
    <t>2024-10-30T17:34:21.872745Z</t>
  </si>
  <si>
    <t>2024-10-30T18:11:24.578416Z</t>
  </si>
  <si>
    <t>2024-10-30T18:39:05.063583Z</t>
  </si>
  <si>
    <t>2024-10-30T16:54:20.922344Z</t>
  </si>
  <si>
    <t>2024-10-30T17:34:26.872054Z</t>
  </si>
  <si>
    <t>2024-10-30T18:11:29.579770Z</t>
  </si>
  <si>
    <t>2024-10-30T18:39:10.063820Z</t>
  </si>
  <si>
    <t>2024-10-30T16:54:25.921858Z</t>
  </si>
  <si>
    <t>2024-10-30T17:34:31.872272Z</t>
  </si>
  <si>
    <t>2024-10-30T18:11:34.578509Z</t>
  </si>
  <si>
    <t>2024-10-30T18:39:15.063904Z</t>
  </si>
  <si>
    <t>2024-10-30T16:54:30.921997Z</t>
  </si>
  <si>
    <t>2024-10-30T17:34:36.871871Z</t>
  </si>
  <si>
    <t>2024-10-30T18:11:39.579382Z</t>
  </si>
  <si>
    <t>2024-10-30T18:39:40.143781Z</t>
  </si>
  <si>
    <t>2024-10-30T16:54:35.921704Z</t>
  </si>
  <si>
    <t>2024-10-30T17:35:12.094027Z</t>
  </si>
  <si>
    <t>2024-10-30T18:11:44.578590Z</t>
  </si>
  <si>
    <t>2024-10-30T18:39:45.140854Z</t>
  </si>
  <si>
    <t>2024-10-30T16:54:40.921908Z</t>
  </si>
  <si>
    <t>2024-10-30T17:35:17.085382Z</t>
  </si>
  <si>
    <t>2024-10-30T18:11:49.578430Z</t>
  </si>
  <si>
    <t>2024-10-30T18:39:50.135505Z</t>
  </si>
  <si>
    <t>2024-10-30T16:54:45.922145Z</t>
  </si>
  <si>
    <t>2024-10-30T17:35:22.085695Z</t>
  </si>
  <si>
    <t>2024-10-30T18:11:54.578661Z</t>
  </si>
  <si>
    <t>2024-10-30T18:39:55.135676Z</t>
  </si>
  <si>
    <t>2024-10-30T16:54:50.921708Z</t>
  </si>
  <si>
    <t>2024-10-30T17:35:27.085383Z</t>
  </si>
  <si>
    <t>2024-10-30T18:11:59.578464Z</t>
  </si>
  <si>
    <t>2024-10-30T18:40:00.135688Z</t>
  </si>
  <si>
    <t>2024-10-30T16:54:55.922040Z</t>
  </si>
  <si>
    <t>2024-10-30T17:35:32.085384Z</t>
  </si>
  <si>
    <t>2024-10-30T18:12:04.578750Z</t>
  </si>
  <si>
    <t>2024-10-30T18:40:05.135093Z</t>
  </si>
  <si>
    <t>2024-10-30T16:55:00.921854Z</t>
  </si>
  <si>
    <t>2024-10-30T17:35:37.085522Z</t>
  </si>
  <si>
    <t>2024-10-30T18:12:09.581715Z</t>
  </si>
  <si>
    <t>2024-10-30T18:40:10.135187Z</t>
  </si>
  <si>
    <t>2024-10-30T16:55:05.921795Z</t>
  </si>
  <si>
    <t>2024-10-30T17:35:42.085626Z</t>
  </si>
  <si>
    <t>2024-10-30T18:12:14.579670Z</t>
  </si>
  <si>
    <t>2024-10-30T18:40:15.135024Z</t>
  </si>
  <si>
    <t>2024-10-30T16:55:10.921845Z</t>
  </si>
  <si>
    <t>2024-10-30T17:35:47.085162Z</t>
  </si>
  <si>
    <t>2024-10-30T18:12:19.578700Z</t>
  </si>
  <si>
    <t>2024-10-30T18:40:20.135563Z</t>
  </si>
  <si>
    <t>2024-10-30T16:55:15.921882Z</t>
  </si>
  <si>
    <t>2024-10-30T17:35:52.089550Z</t>
  </si>
  <si>
    <t>2024-10-30T18:12:40.578672Z</t>
  </si>
  <si>
    <t>2024-10-30T18:40:25.135153Z</t>
  </si>
  <si>
    <t>2024-10-30T16:55:20.921567Z</t>
  </si>
  <si>
    <t>2024-10-30T17:35:57.085236Z</t>
  </si>
  <si>
    <t>2024-10-30T18:12:45.565588Z</t>
  </si>
  <si>
    <t>2024-10-30T18:40:30.135569Z</t>
  </si>
  <si>
    <t>2024-10-30T16:55:25.921814Z</t>
  </si>
  <si>
    <t>2024-10-30T17:36:02.085460Z</t>
  </si>
  <si>
    <t>2024-10-30T18:12:50.565193Z</t>
  </si>
  <si>
    <t>2024-10-30T18:40:35.135229Z</t>
  </si>
  <si>
    <t>2024-10-30T16:55:30.921968Z</t>
  </si>
  <si>
    <t>2024-10-30T17:36:07.085279Z</t>
  </si>
  <si>
    <t>2024-10-30T18:12:55.567056Z</t>
  </si>
  <si>
    <t>2024-10-30T18:40:40.135358Z</t>
  </si>
  <si>
    <t>2024-10-30T16:55:35.921762Z</t>
  </si>
  <si>
    <t>2024-10-30T17:36:12.085409Z</t>
  </si>
  <si>
    <t>2024-10-30T18:13:00.565371Z</t>
  </si>
  <si>
    <t>2024-10-30T18:40:45.135384Z</t>
  </si>
  <si>
    <t>2024-10-30T16:55:40.921755Z</t>
  </si>
  <si>
    <t>2024-10-30T17:36:17.086107Z</t>
  </si>
  <si>
    <t>2024-10-30T18:13:05.565364Z</t>
  </si>
  <si>
    <t>2024-10-30T18:40:50.135457Z</t>
  </si>
  <si>
    <t>2024-10-30T16:55:45.921605Z</t>
  </si>
  <si>
    <t>2024-10-30T17:36:22.086362Z</t>
  </si>
  <si>
    <t>2024-10-30T18:13:10.565188Z</t>
  </si>
  <si>
    <t>2024-10-30T18:40:55.137603Z</t>
  </si>
  <si>
    <t>2024-10-30T16:55:50.922037Z</t>
  </si>
  <si>
    <t>2024-10-30T17:36:27.085587Z</t>
  </si>
  <si>
    <t>2024-10-30T18:13:15.568169Z</t>
  </si>
  <si>
    <t>2024-10-30T18:41:00.135426Z</t>
  </si>
  <si>
    <t>2024-10-30T16:55:55.921742Z</t>
  </si>
  <si>
    <t>2024-10-30T17:36:32.085167Z</t>
  </si>
  <si>
    <t>2024-10-30T18:13:20.565373Z</t>
  </si>
  <si>
    <t>2024-10-30T18:41:05.135431Z</t>
  </si>
  <si>
    <t>2024-10-30T16:56:00.921735Z</t>
  </si>
  <si>
    <t>2024-10-30T17:36:37.085538Z</t>
  </si>
  <si>
    <t>2024-10-30T18:13:25.565427Z</t>
  </si>
  <si>
    <t>2024-10-30T18:41:10.135349Z</t>
  </si>
  <si>
    <t>2024-10-30T16:56:05.922131Z</t>
  </si>
  <si>
    <t>2024-10-30T17:36:42.085726Z</t>
  </si>
  <si>
    <t>2024-10-30T18:13:30.567324Z</t>
  </si>
  <si>
    <t>2024-10-30T18:41:15.135323Z</t>
  </si>
  <si>
    <t>2024-10-30T16:56:10.922857Z</t>
  </si>
  <si>
    <t>2024-10-30T17:36:47.085135Z</t>
  </si>
  <si>
    <t>2024-10-30T18:13:35.565624Z</t>
  </si>
  <si>
    <t>2024-10-30T18:41:20.135330Z</t>
  </si>
  <si>
    <t>2024-10-30T16:56:15.921931Z</t>
  </si>
  <si>
    <t>2024-10-30T17:36:52.085763Z</t>
  </si>
  <si>
    <t>2024-10-30T18:13:40.565565Z</t>
  </si>
  <si>
    <t>2024-10-30T18:41:25.135314Z</t>
  </si>
  <si>
    <t>2024-10-30T16:56:20.921659Z</t>
  </si>
  <si>
    <t>2024-10-30T17:36:57.085134Z</t>
  </si>
  <si>
    <t>2024-10-30T18:13:45.565153Z</t>
  </si>
  <si>
    <t>2024-10-30T18:41:30.135253Z</t>
  </si>
  <si>
    <t>2024-10-30T16:56:25.921869Z</t>
  </si>
  <si>
    <t>2024-10-30T17:37:02.085157Z</t>
  </si>
  <si>
    <t>2024-10-30T18:13:50.565659Z</t>
  </si>
  <si>
    <t>2024-10-30T18:41:35.135139Z</t>
  </si>
  <si>
    <t>2024-10-30T16:56:30.922161Z</t>
  </si>
  <si>
    <t>2024-10-30T17:37:07.085444Z</t>
  </si>
  <si>
    <t>2024-10-30T18:13:55.565530Z</t>
  </si>
  <si>
    <t>2024-10-30T18:41:40.135000Z</t>
  </si>
  <si>
    <t>2024-10-30T16:56:35.922448Z</t>
  </si>
  <si>
    <t>2024-10-30T17:37:12.085784Z</t>
  </si>
  <si>
    <t>2024-10-30T18:14:00.568523Z</t>
  </si>
  <si>
    <t>2024-10-30T18:41:45.135001Z</t>
  </si>
  <si>
    <t>2024-10-30T16:56:40.922241Z</t>
  </si>
  <si>
    <t>2024-10-30T17:37:17.085161Z</t>
  </si>
  <si>
    <t>2024-10-30T18:14:05.565704Z</t>
  </si>
  <si>
    <t>2024-10-30T18:41:50.135837Z</t>
  </si>
  <si>
    <t>2024-10-30T16:56:45.922378Z</t>
  </si>
  <si>
    <t>2024-10-30T17:37:22.085704Z</t>
  </si>
  <si>
    <t>2024-10-30T18:14:10.565844Z</t>
  </si>
  <si>
    <t>2024-10-30T18:41:55.137886Z</t>
  </si>
  <si>
    <t>2024-10-30T16:56:50.922738Z</t>
  </si>
  <si>
    <t>2024-10-30T17:37:27.085330Z</t>
  </si>
  <si>
    <t>2024-10-30T18:14:15.565661Z</t>
  </si>
  <si>
    <t>2024-10-30T18:42:00.135149Z</t>
  </si>
  <si>
    <t>2024-10-30T16:57:25.467094Z</t>
  </si>
  <si>
    <t>2024-10-30T17:37:32.085842Z</t>
  </si>
  <si>
    <t>2024-10-30T18:14:20.565623Z</t>
  </si>
  <si>
    <t>2024-10-30T18:42:05.135238Z</t>
  </si>
  <si>
    <t>2024-10-30T16:57:30.457192Z</t>
  </si>
  <si>
    <t>2024-10-30T17:37:37.085694Z</t>
  </si>
  <si>
    <t>2024-10-30T18:14:25.565580Z</t>
  </si>
  <si>
    <t>2024-10-30T18:42:10.135122Z</t>
  </si>
  <si>
    <t>2024-10-30T16:57:35.457225Z</t>
  </si>
  <si>
    <t>2024-10-30T18:14:30.565670Z</t>
  </si>
  <si>
    <t>2024-10-30T18:42:15.135821Z</t>
  </si>
  <si>
    <t>2024-10-30T16:57:40.457179Z</t>
  </si>
  <si>
    <t>2024-10-30T18:14:35.565635Z</t>
  </si>
  <si>
    <t>2024-10-30T18:42:20.135360Z</t>
  </si>
  <si>
    <t>2024-10-30T16:57:45.457475Z</t>
  </si>
  <si>
    <t>2024-10-30T18:14:40.565755Z</t>
  </si>
  <si>
    <t>2024-10-30T18:42:25.135344Z</t>
  </si>
  <si>
    <t>2024-10-30T16:57:50.457656Z</t>
  </si>
  <si>
    <t>2024-10-30T18:14:45.565479Z</t>
  </si>
  <si>
    <t>2024-10-30T18:42:30.135485Z</t>
  </si>
  <si>
    <t>2024-10-30T16:57:55.457646Z</t>
  </si>
  <si>
    <t>2024-10-30T18:14:50.565436Z</t>
  </si>
  <si>
    <t>2024-10-30T18:42:35.135886Z</t>
  </si>
  <si>
    <t>2024-10-30T16:58:00.458657Z</t>
  </si>
  <si>
    <t>2024-10-30T18:14:55.565369Z</t>
  </si>
  <si>
    <t>2024-10-30T18:42:40.135817Z</t>
  </si>
  <si>
    <t>2024-10-30T16:58:05.457833Z</t>
  </si>
  <si>
    <t>2024-10-30T18:15:00.565638Z</t>
  </si>
  <si>
    <t>2024-10-30T18:42:45.135212Z</t>
  </si>
  <si>
    <t>2024-10-30T16:58:10.457577Z</t>
  </si>
  <si>
    <t>2024-10-30T18:15:05.566514Z</t>
  </si>
  <si>
    <t>2024-10-30T18:42:50.135280Z</t>
  </si>
  <si>
    <t>2024-10-30T16:58:15.460769Z</t>
  </si>
  <si>
    <t>2024-10-30T18:15:10.566057Z</t>
  </si>
  <si>
    <t>2024-10-30T18:42:55.135327Z</t>
  </si>
  <si>
    <t>2024-10-30T16:58:20.458940Z</t>
  </si>
  <si>
    <t>2024-10-30T18:15:15.565941Z</t>
  </si>
  <si>
    <t>2024-10-30T18:43:00.135535Z</t>
  </si>
  <si>
    <t>2024-10-30T16:58:25.457790Z</t>
  </si>
  <si>
    <t>2024-10-30T18:15:20.565633Z</t>
  </si>
  <si>
    <t>2024-10-30T18:43:05.135774Z</t>
  </si>
  <si>
    <t>2024-10-30T16:58:30.457792Z</t>
  </si>
  <si>
    <t>2024-10-30T18:15:25.565589Z</t>
  </si>
  <si>
    <t>2024-10-30T18:43:10.135679Z</t>
  </si>
  <si>
    <t>2024-10-30T16:58:35.457236Z</t>
  </si>
  <si>
    <t>2024-10-30T18:15:30.565601Z</t>
  </si>
  <si>
    <t>2024-10-30T18:43:15.135618Z</t>
  </si>
  <si>
    <t>2024-10-30T16:58:40.457291Z</t>
  </si>
  <si>
    <t>2024-10-30T18:15:52.593043Z</t>
  </si>
  <si>
    <t>2024-10-30T18:43:20.135753Z</t>
  </si>
  <si>
    <t>2024-10-30T16:58:45.457373Z</t>
  </si>
  <si>
    <t>2024-10-30T18:15:57.586505Z</t>
  </si>
  <si>
    <t>2024-10-30T18:43:25.135648Z</t>
  </si>
  <si>
    <t>2024-10-30T16:58:50.457272Z</t>
  </si>
  <si>
    <t>2024-10-30T18:16:02.585448Z</t>
  </si>
  <si>
    <t>2024-10-30T18:43:30.135334Z</t>
  </si>
  <si>
    <t>2024-10-30T16:58:55.457362Z</t>
  </si>
  <si>
    <t>2024-10-30T18:16:07.585318Z</t>
  </si>
  <si>
    <t>2024-10-30T18:43:35.135608Z</t>
  </si>
  <si>
    <t>2024-10-30T16:59:00.457472Z</t>
  </si>
  <si>
    <t>2024-10-30T18:16:12.585472Z</t>
  </si>
  <si>
    <t>2024-10-30T18:43:40.135134Z</t>
  </si>
  <si>
    <t>2024-10-30T16:59:05.457672Z</t>
  </si>
  <si>
    <t>2024-10-30T18:16:17.586438Z</t>
  </si>
  <si>
    <t>2024-10-30T18:43:45.135326Z</t>
  </si>
  <si>
    <t>2024-10-30T16:59:10.457173Z</t>
  </si>
  <si>
    <t>2024-10-30T18:16:22.585660Z</t>
  </si>
  <si>
    <t>2024-10-30T18:43:50.135533Z</t>
  </si>
  <si>
    <t>2024-10-30T16:59:15.459481Z</t>
  </si>
  <si>
    <t>2024-10-30T18:16:27.585464Z</t>
  </si>
  <si>
    <t>2024-10-30T18:43:55.135200Z</t>
  </si>
  <si>
    <t>2024-10-30T16:59:20.457299Z</t>
  </si>
  <si>
    <t>2024-10-30T18:16:32.585503Z</t>
  </si>
  <si>
    <t>2024-10-30T18:44:00.135226Z</t>
  </si>
  <si>
    <t>2024-10-30T16:59:25.457133Z</t>
  </si>
  <si>
    <t>2024-10-30T18:16:37.585514Z</t>
  </si>
  <si>
    <t>2024-10-30T18:44:05.135422Z</t>
  </si>
  <si>
    <t>2024-10-30T16:59:30.457475Z</t>
  </si>
  <si>
    <t>2024-10-30T18:16:42.585238Z</t>
  </si>
  <si>
    <t>2024-10-30T18:44:10.135386Z</t>
  </si>
  <si>
    <t>2024-10-30T16:59:35.457172Z</t>
  </si>
  <si>
    <t>2024-10-30T18:16:47.585444Z</t>
  </si>
  <si>
    <t>2024-10-30T18:44:15.135410Z</t>
  </si>
  <si>
    <t>2024-10-30T16:59:40.457868Z</t>
  </si>
  <si>
    <t>2024-10-30T18:16:52.585298Z</t>
  </si>
  <si>
    <t>2024-10-30T18:44:20.135425Z</t>
  </si>
  <si>
    <t>2024-10-30T16:59:45.457563Z</t>
  </si>
  <si>
    <t>2024-10-30T18:16:57.585494Z</t>
  </si>
  <si>
    <t>2024-10-30T18:44:25.135259Z</t>
  </si>
  <si>
    <t>2024-10-30T16:59:50.457458Z</t>
  </si>
  <si>
    <t>2024-10-30T18:17:02.585585Z</t>
  </si>
  <si>
    <t>2024-10-30T18:44:30.136834Z</t>
  </si>
  <si>
    <t>2024-10-30T16:59:55.457687Z</t>
  </si>
  <si>
    <t>2024-10-30T18:17:07.585711Z</t>
  </si>
  <si>
    <t>2024-10-30T18:44:35.135278Z</t>
  </si>
  <si>
    <t>2024-10-30T17:00:00.457314Z</t>
  </si>
  <si>
    <t>2024-10-30T18:17:12.585279Z</t>
  </si>
  <si>
    <t>2024-10-30T18:44:40.135385Z</t>
  </si>
  <si>
    <t>2024-10-30T17:00:05.457814Z</t>
  </si>
  <si>
    <t>2024-10-30T18:17:17.585799Z</t>
  </si>
  <si>
    <t>2024-10-30T17:00:10.457285Z</t>
  </si>
  <si>
    <t>2024-10-30T18:17:22.585473Z</t>
  </si>
  <si>
    <t>2024-10-30T17:00:15.457753Z</t>
  </si>
  <si>
    <t>2024-10-30T18:17:27.585377Z</t>
  </si>
  <si>
    <t>2024-10-30T17:00:20.457164Z</t>
  </si>
  <si>
    <t>2024-10-30T18:17:32.585421Z</t>
  </si>
  <si>
    <t>2024-10-30T18:17:37.585227Z</t>
  </si>
  <si>
    <t>2024-10-30T18:17:42.585507Z</t>
  </si>
  <si>
    <t>2024-10-30T18:17:47.585126Z</t>
  </si>
  <si>
    <t>2024-10-30T18:17:52.585137Z</t>
  </si>
  <si>
    <t>2024-10-30T18:17:57.585530Z</t>
  </si>
  <si>
    <t>2024-10-30T18:18:02.585220Z</t>
  </si>
  <si>
    <t>2024-10-30T18:18:07.585318Z</t>
  </si>
  <si>
    <t>2024-10-30T18:18:12.585487Z</t>
  </si>
  <si>
    <t>2024-10-30T18:18:17.585147Z</t>
  </si>
  <si>
    <t>2024-10-30T18:18:22.585443Z</t>
  </si>
  <si>
    <t>2024-10-30T18:18:27.585455Z</t>
  </si>
  <si>
    <t>2024-10-30T18:18:32.585414Z</t>
  </si>
  <si>
    <t>2024-10-30T18:18:37.586260Z</t>
  </si>
  <si>
    <t>2024-10-30T18:18:42.585176Z</t>
  </si>
  <si>
    <t>2024-10-30T18:18:47.585475Z</t>
  </si>
  <si>
    <t>2024-10-30T18:18:52.585159Z</t>
  </si>
  <si>
    <t>2024-10-30T18:18:57.586829Z</t>
  </si>
  <si>
    <t>2024-10-30T18:19:02.585412Z</t>
  </si>
  <si>
    <t>2024-10-30T18:19:07.586563Z</t>
  </si>
  <si>
    <t>2024-10-30T18:19:12.585385Z</t>
  </si>
  <si>
    <t>2024-10-30T18:19:17.585515Z</t>
  </si>
  <si>
    <t>2024-10-30T18:19:22.585367Z</t>
  </si>
  <si>
    <t>2024-10-30T18:19:27.586153Z</t>
  </si>
  <si>
    <t>2024-10-30T18:19:32.585823Z</t>
  </si>
  <si>
    <t>2024-10-30T18:19:37.585362Z</t>
  </si>
  <si>
    <t>2024-10-30T18:19:42.585252Z</t>
  </si>
  <si>
    <t>2024-10-30T18:19:47.585559Z</t>
  </si>
  <si>
    <t>2024-10-30T18:19:52.585711Z</t>
  </si>
  <si>
    <t>2024-10-30T18:19:57.585276Z</t>
  </si>
  <si>
    <t>2024-10-30T18:20:02.585419Z</t>
  </si>
  <si>
    <t>2024-10-30T18:20:07.585127Z</t>
  </si>
  <si>
    <t>2024-10-30T18:20:12.584899Z</t>
  </si>
  <si>
    <t>2024-10-30T18:20:17.585647Z</t>
  </si>
  <si>
    <t>2024-10-30T18:20:22.585880Z</t>
  </si>
  <si>
    <t>2024-10-30T18:20:27.585788Z</t>
  </si>
  <si>
    <t>2024-10-30T18:20:32.585641Z</t>
  </si>
  <si>
    <t>2024-10-30T18:20:37.585403Z</t>
  </si>
  <si>
    <t>2024-10-30T18:20:42.585409Z</t>
  </si>
  <si>
    <t>2024-10-30T18:20:47.585558Z</t>
  </si>
  <si>
    <t>2024-10-30T18:20:52.585655Z</t>
  </si>
  <si>
    <t>2024-10-30T18:20:57.585419Z</t>
  </si>
  <si>
    <t>2024-10-30T18:21:02.585624Z</t>
  </si>
  <si>
    <t>2024-10-30T18:21:07.585430Z</t>
  </si>
  <si>
    <t>2024-10-30T18:21:12.585754Z</t>
  </si>
  <si>
    <t>2024-10-30T18:21:17.585649Z</t>
  </si>
  <si>
    <t>2024-10-30T18:21:22.585756Z</t>
  </si>
  <si>
    <t>2024-10-30T18:21:27.585588Z</t>
  </si>
  <si>
    <t>2024-10-30T18:21:32.585213Z</t>
  </si>
  <si>
    <t>2024-10-30T18:21:37.585590Z</t>
  </si>
  <si>
    <t>2024-10-30T18:21:42.585575Z</t>
  </si>
  <si>
    <t>2024-10-30T18:21:47.585740Z</t>
  </si>
  <si>
    <t>2024-10-30T18:21:52.586961Z</t>
  </si>
  <si>
    <t>2024-10-30T18:21:57.585440Z</t>
  </si>
  <si>
    <t>2024-10-30T18:22:02.585434Z</t>
  </si>
  <si>
    <t>2024-10-30T18:22:07.585583Z</t>
  </si>
  <si>
    <t>2024-10-30T18:22:12.585198Z</t>
  </si>
  <si>
    <t>2024-10-30T18:22:17.585567Z</t>
  </si>
  <si>
    <t>2024-10-30T18:22:22.585714Z</t>
  </si>
  <si>
    <t>2024-10-30T18:22:27.585840Z</t>
  </si>
  <si>
    <t>2024-10-30T18:22:32.585488Z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</si>
</sst>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/d/yy\ h:mm;@"/>
    <numFmt numFmtId="166" formatCode="0.0000"/>
  </numFmts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C0D0E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2" fillId="0" borderId="1" xfId="0" applyFont="1" applyBorder="1"/>
    <xf numFmtId="0" fontId="2" fillId="0" borderId="2" xfId="0" applyFont="1" applyBorder="1"/>
    <xf numFmtId="22" fontId="0" fillId="0" borderId="0" xfId="0" applyNumberFormat="1"/>
    <xf numFmtId="20" fontId="0" fillId="0" borderId="0" xfId="0" applyNumberFormat="1"/>
    <xf numFmtId="0" fontId="0" fillId="0" borderId="3" xfId="0" applyBorder="1"/>
    <xf numFmtId="0" fontId="0" fillId="0" borderId="4" xfId="0" applyBorder="1"/>
    <xf numFmtId="22" fontId="0" fillId="0" borderId="4" xfId="0" applyNumberFormat="1" applyBorder="1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2" fontId="0" fillId="0" borderId="13" xfId="0" applyNumberFormat="1" applyBorder="1"/>
    <xf numFmtId="0" fontId="0" fillId="0" borderId="13" xfId="0" applyBorder="1"/>
    <xf numFmtId="164" fontId="0" fillId="0" borderId="13" xfId="0" applyNumberFormat="1" applyBorder="1"/>
    <xf numFmtId="0" fontId="4" fillId="0" borderId="13" xfId="0" applyFont="1" applyBorder="1"/>
    <xf numFmtId="20" fontId="0" fillId="0" borderId="13" xfId="0" applyNumberFormat="1" applyBorder="1"/>
    <xf numFmtId="16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38">
    <dxf>
      <numFmt numFmtId="0" formatCode="General"/>
      <fill>
        <patternFill>
          <fgColor indexed="64"/>
          <bgColor theme="8" tint="0.79998168889431442"/>
        </patternFill>
      </fill>
    </dxf>
    <dxf>
      <numFmt numFmtId="0" formatCode="General"/>
      <fill>
        <patternFill>
          <fgColor indexed="64"/>
          <bgColor theme="8" tint="0.79998168889431442"/>
        </patternFill>
      </fill>
    </dxf>
    <dxf>
      <fill>
        <patternFill>
          <fgColor indexed="64"/>
          <bgColor theme="8" tint="0.79998168889431442"/>
        </patternFill>
      </fill>
    </dxf>
    <dxf>
      <fill>
        <patternFill>
          <fgColor indexed="64"/>
          <bgColor theme="8" tint="0.79998168889431442"/>
        </patternFill>
      </fill>
    </dxf>
    <dxf>
      <fill>
        <patternFill>
          <fgColor indexed="64"/>
          <bgColor theme="8" tint="0.79998168889431442"/>
        </patternFill>
      </fill>
    </dxf>
    <dxf>
      <numFmt numFmtId="0" formatCode="General"/>
    </dxf>
    <dxf>
      <numFmt numFmtId="0" formatCode="General"/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numFmt numFmtId="0" formatCode="General"/>
    </dxf>
    <dxf>
      <numFmt numFmtId="0" formatCode="General"/>
      <fill>
        <patternFill>
          <fgColor indexed="64"/>
          <bgColor theme="8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8"/>
        </patternFill>
      </fill>
    </dxf>
    <dxf>
      <numFmt numFmtId="0" formatCode="General"/>
      <fill>
        <patternFill patternType="solid">
          <fgColor indexed="64"/>
          <bgColor theme="7"/>
        </patternFill>
      </fill>
    </dxf>
    <dxf>
      <numFmt numFmtId="0" formatCode="General"/>
      <fill>
        <patternFill>
          <fgColor indexed="64"/>
          <bgColor theme="7"/>
        </patternFill>
      </fill>
    </dxf>
    <dxf>
      <fill>
        <patternFill>
          <fgColor indexed="64"/>
          <bgColor theme="7"/>
        </patternFill>
      </fill>
    </dxf>
    <dxf>
      <fill>
        <patternFill>
          <fgColor indexed="64"/>
          <bgColor theme="7"/>
        </patternFill>
      </fill>
    </dxf>
    <dxf>
      <fill>
        <patternFill>
          <fgColor indexed="64"/>
          <bgColor theme="7"/>
        </patternFill>
      </fill>
    </dxf>
    <dxf>
      <numFmt numFmtId="164" formatCode="0.000"/>
      <fill>
        <patternFill patternType="solid">
          <fgColor indexed="64"/>
          <bgColor theme="5"/>
        </patternFill>
      </fill>
    </dxf>
    <dxf>
      <numFmt numFmtId="164" formatCode="0.000"/>
      <fill>
        <patternFill patternType="solid">
          <fgColor indexed="64"/>
          <bgColor theme="5"/>
        </patternFill>
      </fill>
    </dxf>
    <dxf>
      <numFmt numFmtId="164" formatCode="0.000"/>
      <fill>
        <patternFill patternType="solid">
          <fgColor indexed="64"/>
          <bgColor theme="5"/>
        </patternFill>
      </fill>
    </dxf>
    <dxf>
      <numFmt numFmtId="164" formatCode="0.000"/>
      <fill>
        <patternFill patternType="solid">
          <fgColor indexed="64"/>
          <bgColor theme="5"/>
        </patternFill>
      </fill>
    </dxf>
    <dxf>
      <numFmt numFmtId="164" formatCode="0.000"/>
      <fill>
        <patternFill patternType="solid">
          <fgColor indexed="64"/>
          <bgColor theme="9"/>
        </patternFill>
      </fill>
    </dxf>
    <dxf>
      <numFmt numFmtId="164" formatCode="0.000"/>
      <fill>
        <patternFill patternType="solid">
          <fgColor indexed="64"/>
          <bgColor theme="9"/>
        </patternFill>
      </fill>
    </dxf>
    <dxf>
      <numFmt numFmtId="164" formatCode="0.000"/>
      <fill>
        <patternFill patternType="solid">
          <fgColor indexed="64"/>
          <bgColor theme="9"/>
        </patternFill>
      </fill>
    </dxf>
    <dxf>
      <numFmt numFmtId="164" formatCode="0.000"/>
      <fill>
        <patternFill patternType="solid">
          <fgColor indexed="64"/>
          <bgColor theme="9"/>
        </patternFill>
      </fill>
    </dxf>
    <dxf>
      <numFmt numFmtId="164" formatCode="0.000"/>
      <fill>
        <patternFill patternType="solid">
          <fgColor indexed="64"/>
          <bgColor theme="9"/>
        </patternFill>
      </fill>
    </dxf>
    <dxf>
      <numFmt numFmtId="0" formatCode="General"/>
    </dxf>
    <dxf>
      <numFmt numFmtId="164" formatCode="0.000"/>
    </dxf>
    <dxf>
      <numFmt numFmtId="164" formatCode="0.0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4" formatCode="0.0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 data'!$P$1</c:f>
              <c:strCache>
                <c:ptCount val="1"/>
                <c:pt idx="0">
                  <c:v>worker2_avg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'Calibration data'!$H$2:$H$13</c:f>
                <c:numCache>
                  <c:formatCode>0.000</c:formatCode>
                  <c:ptCount val="12"/>
                  <c:pt idx="0">
                    <c:v>2.5099800796022287E-3</c:v>
                  </c:pt>
                  <c:pt idx="1">
                    <c:v>1.7224014243685101E-3</c:v>
                  </c:pt>
                  <c:pt idx="2">
                    <c:v>3.7237973450050545E-3</c:v>
                  </c:pt>
                  <c:pt idx="3">
                    <c:v>1.8618986725025208E-3</c:v>
                  </c:pt>
                  <c:pt idx="4">
                    <c:v>5.0859282994028306E-3</c:v>
                  </c:pt>
                  <c:pt idx="5">
                    <c:v>8.9442719099991667E-4</c:v>
                  </c:pt>
                  <c:pt idx="6">
                    <c:v>1.3662601021279383E-3</c:v>
                  </c:pt>
                  <c:pt idx="7">
                    <c:v>6.4394616752230594E-3</c:v>
                  </c:pt>
                  <c:pt idx="8">
                    <c:v>1.1171392035015163E-2</c:v>
                  </c:pt>
                  <c:pt idx="9">
                    <c:v>5.8452259722500659E-3</c:v>
                  </c:pt>
                  <c:pt idx="10">
                    <c:v>1.173740459670137E-2</c:v>
                  </c:pt>
                  <c:pt idx="11">
                    <c:v>7.420691791650327E-3</c:v>
                  </c:pt>
                </c:numCache>
              </c:numRef>
            </c:plus>
            <c:minus>
              <c:numRef>
                <c:f>'Calibration data'!$H$2:$H$13</c:f>
                <c:numCache>
                  <c:formatCode>0.000</c:formatCode>
                  <c:ptCount val="12"/>
                  <c:pt idx="0">
                    <c:v>2.5099800796022287E-3</c:v>
                  </c:pt>
                  <c:pt idx="1">
                    <c:v>1.7224014243685101E-3</c:v>
                  </c:pt>
                  <c:pt idx="2">
                    <c:v>3.7237973450050545E-3</c:v>
                  </c:pt>
                  <c:pt idx="3">
                    <c:v>1.8618986725025208E-3</c:v>
                  </c:pt>
                  <c:pt idx="4">
                    <c:v>5.0859282994028306E-3</c:v>
                  </c:pt>
                  <c:pt idx="5">
                    <c:v>8.9442719099991667E-4</c:v>
                  </c:pt>
                  <c:pt idx="6">
                    <c:v>1.3662601021279383E-3</c:v>
                  </c:pt>
                  <c:pt idx="7">
                    <c:v>6.4394616752230594E-3</c:v>
                  </c:pt>
                  <c:pt idx="8">
                    <c:v>1.1171392035015163E-2</c:v>
                  </c:pt>
                  <c:pt idx="9">
                    <c:v>5.8452259722500659E-3</c:v>
                  </c:pt>
                  <c:pt idx="10">
                    <c:v>1.173740459670137E-2</c:v>
                  </c:pt>
                  <c:pt idx="11">
                    <c:v>7.420691791650327E-3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'Calibration data'!$Q$2:$Q$13</c:f>
                <c:numCache>
                  <c:formatCode>General</c:formatCode>
                  <c:ptCount val="12"/>
                  <c:pt idx="0">
                    <c:v>2.8768734278592981E-4</c:v>
                  </c:pt>
                  <c:pt idx="1">
                    <c:v>4.9718880206630765E-4</c:v>
                  </c:pt>
                  <c:pt idx="2">
                    <c:v>1.294926134861819E-4</c:v>
                  </c:pt>
                  <c:pt idx="3">
                    <c:v>4.1570518669336643E-5</c:v>
                  </c:pt>
                  <c:pt idx="4">
                    <c:v>1.5384943455339141E-4</c:v>
                  </c:pt>
                  <c:pt idx="5">
                    <c:v>3.5224036058465575E-4</c:v>
                  </c:pt>
                  <c:pt idx="6">
                    <c:v>4.5825525046776927E-4</c:v>
                  </c:pt>
                  <c:pt idx="7">
                    <c:v>9.1993218696963643E-4</c:v>
                  </c:pt>
                  <c:pt idx="8">
                    <c:v>2.3747488399047138E-3</c:v>
                  </c:pt>
                  <c:pt idx="9">
                    <c:v>2.422250991423049E-3</c:v>
                  </c:pt>
                  <c:pt idx="10">
                    <c:v>1.8306261765567368E-3</c:v>
                  </c:pt>
                  <c:pt idx="11">
                    <c:v>1.9588286079727951E-3</c:v>
                  </c:pt>
                </c:numCache>
              </c:numRef>
            </c:plus>
            <c:minus>
              <c:numRef>
                <c:f>'Calibration data'!$Q$2:$Q$13</c:f>
                <c:numCache>
                  <c:formatCode>General</c:formatCode>
                  <c:ptCount val="12"/>
                  <c:pt idx="0">
                    <c:v>2.8768734278592981E-4</c:v>
                  </c:pt>
                  <c:pt idx="1">
                    <c:v>4.9718880206630765E-4</c:v>
                  </c:pt>
                  <c:pt idx="2">
                    <c:v>1.294926134861819E-4</c:v>
                  </c:pt>
                  <c:pt idx="3">
                    <c:v>4.1570518669336643E-5</c:v>
                  </c:pt>
                  <c:pt idx="4">
                    <c:v>1.5384943455339141E-4</c:v>
                  </c:pt>
                  <c:pt idx="5">
                    <c:v>3.5224036058465575E-4</c:v>
                  </c:pt>
                  <c:pt idx="6">
                    <c:v>4.5825525046776927E-4</c:v>
                  </c:pt>
                  <c:pt idx="7">
                    <c:v>9.1993218696963643E-4</c:v>
                  </c:pt>
                  <c:pt idx="8">
                    <c:v>2.3747488399047138E-3</c:v>
                  </c:pt>
                  <c:pt idx="9">
                    <c:v>2.422250991423049E-3</c:v>
                  </c:pt>
                  <c:pt idx="10">
                    <c:v>1.8306261765567368E-3</c:v>
                  </c:pt>
                  <c:pt idx="11">
                    <c:v>1.9588286079727951E-3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'Calibration data'!$P$2:$P$13</c:f>
              <c:numCache>
                <c:formatCode>General</c:formatCode>
                <c:ptCount val="12"/>
                <c:pt idx="0">
                  <c:v>1.6810845725351634E-3</c:v>
                </c:pt>
                <c:pt idx="1">
                  <c:v>7.3404200907111637E-3</c:v>
                </c:pt>
                <c:pt idx="2">
                  <c:v>1.2811598983113301E-2</c:v>
                </c:pt>
                <c:pt idx="3">
                  <c:v>2.2293436853220733E-2</c:v>
                </c:pt>
                <c:pt idx="4">
                  <c:v>3.9560487991388928E-2</c:v>
                </c:pt>
                <c:pt idx="5">
                  <c:v>5.0494510191034327E-2</c:v>
                </c:pt>
                <c:pt idx="6">
                  <c:v>7.2431964207741131E-2</c:v>
                </c:pt>
                <c:pt idx="7">
                  <c:v>0.109064585975806</c:v>
                </c:pt>
                <c:pt idx="8">
                  <c:v>0.30341906802575586</c:v>
                </c:pt>
                <c:pt idx="9">
                  <c:v>0.26256052152615628</c:v>
                </c:pt>
                <c:pt idx="10">
                  <c:v>0.23769987893560593</c:v>
                </c:pt>
                <c:pt idx="11">
                  <c:v>0.2144816863253691</c:v>
                </c:pt>
              </c:numCache>
            </c:numRef>
          </c:xVal>
          <c:yVal>
            <c:numRef>
              <c:f>'Calibration data'!$G$2:$G$13</c:f>
              <c:numCache>
                <c:formatCode>0.000</c:formatCode>
                <c:ptCount val="12"/>
                <c:pt idx="0">
                  <c:v>7.6499999999999999E-2</c:v>
                </c:pt>
                <c:pt idx="1">
                  <c:v>8.083333333333334E-2</c:v>
                </c:pt>
                <c:pt idx="2">
                  <c:v>9.2666666666666661E-2</c:v>
                </c:pt>
                <c:pt idx="3">
                  <c:v>0.10266666666666667</c:v>
                </c:pt>
                <c:pt idx="4">
                  <c:v>0.14433333333333334</c:v>
                </c:pt>
                <c:pt idx="5">
                  <c:v>0.153</c:v>
                </c:pt>
                <c:pt idx="6">
                  <c:v>0.20533333333333334</c:v>
                </c:pt>
                <c:pt idx="7">
                  <c:v>0.23933333333333331</c:v>
                </c:pt>
                <c:pt idx="8">
                  <c:v>0.48500000000000004</c:v>
                </c:pt>
                <c:pt idx="9">
                  <c:v>0.4441666666666666</c:v>
                </c:pt>
                <c:pt idx="10">
                  <c:v>0.39383333333333342</c:v>
                </c:pt>
                <c:pt idx="11">
                  <c:v>0.33433333333333332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8E-BB46-BBA4-79088DEC9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03264"/>
        <c:axId val="1357439952"/>
      </c:scatterChart>
      <c:valAx>
        <c:axId val="192703264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439952"/>
        <c:crosses val="autoZero"/>
        <c:crossBetween val="midCat"/>
      </c:valAx>
      <c:valAx>
        <c:axId val="13574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0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 data'!$U$1</c:f>
              <c:strCache>
                <c:ptCount val="1"/>
                <c:pt idx="0">
                  <c:v>worker3_avg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204618161934059E-2"/>
                  <c:y val="-6.83903945708443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'Calibration data'!$H$2:$H$13</c:f>
                <c:numCache>
                  <c:formatCode>0.000</c:formatCode>
                  <c:ptCount val="12"/>
                  <c:pt idx="0">
                    <c:v>2.5099800796022287E-3</c:v>
                  </c:pt>
                  <c:pt idx="1">
                    <c:v>1.7224014243685101E-3</c:v>
                  </c:pt>
                  <c:pt idx="2">
                    <c:v>3.7237973450050545E-3</c:v>
                  </c:pt>
                  <c:pt idx="3">
                    <c:v>1.8618986725025208E-3</c:v>
                  </c:pt>
                  <c:pt idx="4">
                    <c:v>5.0859282994028306E-3</c:v>
                  </c:pt>
                  <c:pt idx="5">
                    <c:v>8.9442719099991667E-4</c:v>
                  </c:pt>
                  <c:pt idx="6">
                    <c:v>1.3662601021279383E-3</c:v>
                  </c:pt>
                  <c:pt idx="7">
                    <c:v>6.4394616752230594E-3</c:v>
                  </c:pt>
                  <c:pt idx="8">
                    <c:v>1.1171392035015163E-2</c:v>
                  </c:pt>
                  <c:pt idx="9">
                    <c:v>5.8452259722500659E-3</c:v>
                  </c:pt>
                  <c:pt idx="10">
                    <c:v>1.173740459670137E-2</c:v>
                  </c:pt>
                  <c:pt idx="11">
                    <c:v>7.420691791650327E-3</c:v>
                  </c:pt>
                </c:numCache>
              </c:numRef>
            </c:plus>
            <c:minus>
              <c:numRef>
                <c:f>'Calibration data'!$H$2:$H$13</c:f>
                <c:numCache>
                  <c:formatCode>0.000</c:formatCode>
                  <c:ptCount val="12"/>
                  <c:pt idx="0">
                    <c:v>2.5099800796022287E-3</c:v>
                  </c:pt>
                  <c:pt idx="1">
                    <c:v>1.7224014243685101E-3</c:v>
                  </c:pt>
                  <c:pt idx="2">
                    <c:v>3.7237973450050545E-3</c:v>
                  </c:pt>
                  <c:pt idx="3">
                    <c:v>1.8618986725025208E-3</c:v>
                  </c:pt>
                  <c:pt idx="4">
                    <c:v>5.0859282994028306E-3</c:v>
                  </c:pt>
                  <c:pt idx="5">
                    <c:v>8.9442719099991667E-4</c:v>
                  </c:pt>
                  <c:pt idx="6">
                    <c:v>1.3662601021279383E-3</c:v>
                  </c:pt>
                  <c:pt idx="7">
                    <c:v>6.4394616752230594E-3</c:v>
                  </c:pt>
                  <c:pt idx="8">
                    <c:v>1.1171392035015163E-2</c:v>
                  </c:pt>
                  <c:pt idx="9">
                    <c:v>5.8452259722500659E-3</c:v>
                  </c:pt>
                  <c:pt idx="10">
                    <c:v>1.173740459670137E-2</c:v>
                  </c:pt>
                  <c:pt idx="11">
                    <c:v>7.420691791650327E-3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'Calibration data'!$V$2:$V$13</c:f>
                <c:numCache>
                  <c:formatCode>General</c:formatCode>
                  <c:ptCount val="12"/>
                  <c:pt idx="0">
                    <c:v>1.4421351337109288E-3</c:v>
                  </c:pt>
                  <c:pt idx="1">
                    <c:v>9.7227221531749335E-5</c:v>
                  </c:pt>
                  <c:pt idx="2">
                    <c:v>1.4978088983668928E-3</c:v>
                  </c:pt>
                  <c:pt idx="3">
                    <c:v>8.0839898268482608E-4</c:v>
                  </c:pt>
                  <c:pt idx="4">
                    <c:v>7.2344012652787748E-4</c:v>
                  </c:pt>
                  <c:pt idx="5">
                    <c:v>1.4202890541841628E-4</c:v>
                  </c:pt>
                  <c:pt idx="6">
                    <c:v>4.1740793272772211E-4</c:v>
                  </c:pt>
                  <c:pt idx="7">
                    <c:v>1.5884272912297911E-4</c:v>
                  </c:pt>
                  <c:pt idx="8">
                    <c:v>1.7749416405896728E-3</c:v>
                  </c:pt>
                  <c:pt idx="9">
                    <c:v>2.2114088653464514E-3</c:v>
                  </c:pt>
                  <c:pt idx="10">
                    <c:v>1.4124731617252404E-3</c:v>
                  </c:pt>
                  <c:pt idx="11">
                    <c:v>1.3298540552627869E-3</c:v>
                  </c:pt>
                </c:numCache>
              </c:numRef>
            </c:plus>
            <c:minus>
              <c:numRef>
                <c:f>'Calibration data'!$V$2:$V$13</c:f>
                <c:numCache>
                  <c:formatCode>General</c:formatCode>
                  <c:ptCount val="12"/>
                  <c:pt idx="0">
                    <c:v>1.4421351337109288E-3</c:v>
                  </c:pt>
                  <c:pt idx="1">
                    <c:v>9.7227221531749335E-5</c:v>
                  </c:pt>
                  <c:pt idx="2">
                    <c:v>1.4978088983668928E-3</c:v>
                  </c:pt>
                  <c:pt idx="3">
                    <c:v>8.0839898268482608E-4</c:v>
                  </c:pt>
                  <c:pt idx="4">
                    <c:v>7.2344012652787748E-4</c:v>
                  </c:pt>
                  <c:pt idx="5">
                    <c:v>1.4202890541841628E-4</c:v>
                  </c:pt>
                  <c:pt idx="6">
                    <c:v>4.1740793272772211E-4</c:v>
                  </c:pt>
                  <c:pt idx="7">
                    <c:v>1.5884272912297911E-4</c:v>
                  </c:pt>
                  <c:pt idx="8">
                    <c:v>1.7749416405896728E-3</c:v>
                  </c:pt>
                  <c:pt idx="9">
                    <c:v>2.2114088653464514E-3</c:v>
                  </c:pt>
                  <c:pt idx="10">
                    <c:v>1.4124731617252404E-3</c:v>
                  </c:pt>
                  <c:pt idx="11">
                    <c:v>1.3298540552627869E-3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'Calibration data'!$U$2:$U$13</c:f>
              <c:numCache>
                <c:formatCode>General</c:formatCode>
                <c:ptCount val="12"/>
                <c:pt idx="0">
                  <c:v>9.5065337711201022E-4</c:v>
                </c:pt>
                <c:pt idx="1">
                  <c:v>3.8991363364003734E-3</c:v>
                </c:pt>
                <c:pt idx="2">
                  <c:v>9.5099803897465019E-3</c:v>
                </c:pt>
                <c:pt idx="3">
                  <c:v>1.9128387142799533E-2</c:v>
                </c:pt>
                <c:pt idx="4">
                  <c:v>3.7736928770713836E-2</c:v>
                </c:pt>
                <c:pt idx="5">
                  <c:v>4.6371901500399708E-2</c:v>
                </c:pt>
                <c:pt idx="6">
                  <c:v>6.7918410452691369E-2</c:v>
                </c:pt>
                <c:pt idx="7">
                  <c:v>9.6123744470519967E-2</c:v>
                </c:pt>
                <c:pt idx="8">
                  <c:v>0.1890483882449131</c:v>
                </c:pt>
                <c:pt idx="9">
                  <c:v>0.16481206382665647</c:v>
                </c:pt>
                <c:pt idx="10">
                  <c:v>0.14988730592598198</c:v>
                </c:pt>
                <c:pt idx="11">
                  <c:v>0.13154368070753311</c:v>
                </c:pt>
              </c:numCache>
            </c:numRef>
          </c:xVal>
          <c:yVal>
            <c:numRef>
              <c:f>'Calibration data'!$G$2:$G$13</c:f>
              <c:numCache>
                <c:formatCode>0.000</c:formatCode>
                <c:ptCount val="12"/>
                <c:pt idx="0">
                  <c:v>7.6499999999999999E-2</c:v>
                </c:pt>
                <c:pt idx="1">
                  <c:v>8.083333333333334E-2</c:v>
                </c:pt>
                <c:pt idx="2">
                  <c:v>9.2666666666666661E-2</c:v>
                </c:pt>
                <c:pt idx="3">
                  <c:v>0.10266666666666667</c:v>
                </c:pt>
                <c:pt idx="4">
                  <c:v>0.14433333333333334</c:v>
                </c:pt>
                <c:pt idx="5">
                  <c:v>0.153</c:v>
                </c:pt>
                <c:pt idx="6">
                  <c:v>0.20533333333333334</c:v>
                </c:pt>
                <c:pt idx="7">
                  <c:v>0.23933333333333331</c:v>
                </c:pt>
                <c:pt idx="8">
                  <c:v>0.48500000000000004</c:v>
                </c:pt>
                <c:pt idx="9">
                  <c:v>0.4441666666666666</c:v>
                </c:pt>
                <c:pt idx="10">
                  <c:v>0.39383333333333342</c:v>
                </c:pt>
                <c:pt idx="11">
                  <c:v>0.33433333333333332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F-804E-8B68-280FB4848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948704"/>
        <c:axId val="644255391"/>
      </c:scatterChart>
      <c:valAx>
        <c:axId val="389948704"/>
        <c:scaling>
          <c:orientation val="minMax"/>
          <c:max val="0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255391"/>
        <c:crosses val="autoZero"/>
        <c:crossBetween val="midCat"/>
      </c:valAx>
      <c:valAx>
        <c:axId val="64425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4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 data'!$Z$1</c:f>
              <c:strCache>
                <c:ptCount val="1"/>
                <c:pt idx="0">
                  <c:v>worker4_avg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'Calibration data'!$H$2:$H$13</c:f>
                <c:numCache>
                  <c:formatCode>0.000</c:formatCode>
                  <c:ptCount val="12"/>
                  <c:pt idx="0">
                    <c:v>2.5099800796022287E-3</c:v>
                  </c:pt>
                  <c:pt idx="1">
                    <c:v>1.7224014243685101E-3</c:v>
                  </c:pt>
                  <c:pt idx="2">
                    <c:v>3.7237973450050545E-3</c:v>
                  </c:pt>
                  <c:pt idx="3">
                    <c:v>1.8618986725025208E-3</c:v>
                  </c:pt>
                  <c:pt idx="4">
                    <c:v>5.0859282994028306E-3</c:v>
                  </c:pt>
                  <c:pt idx="5">
                    <c:v>8.9442719099991667E-4</c:v>
                  </c:pt>
                  <c:pt idx="6">
                    <c:v>1.3662601021279383E-3</c:v>
                  </c:pt>
                  <c:pt idx="7">
                    <c:v>6.4394616752230594E-3</c:v>
                  </c:pt>
                  <c:pt idx="8">
                    <c:v>1.1171392035015163E-2</c:v>
                  </c:pt>
                  <c:pt idx="9">
                    <c:v>5.8452259722500659E-3</c:v>
                  </c:pt>
                  <c:pt idx="10">
                    <c:v>1.173740459670137E-2</c:v>
                  </c:pt>
                  <c:pt idx="11">
                    <c:v>7.420691791650327E-3</c:v>
                  </c:pt>
                </c:numCache>
              </c:numRef>
            </c:plus>
            <c:minus>
              <c:numRef>
                <c:f>'Calibration data'!$H$2:$H$13</c:f>
                <c:numCache>
                  <c:formatCode>0.000</c:formatCode>
                  <c:ptCount val="12"/>
                  <c:pt idx="0">
                    <c:v>2.5099800796022287E-3</c:v>
                  </c:pt>
                  <c:pt idx="1">
                    <c:v>1.7224014243685101E-3</c:v>
                  </c:pt>
                  <c:pt idx="2">
                    <c:v>3.7237973450050545E-3</c:v>
                  </c:pt>
                  <c:pt idx="3">
                    <c:v>1.8618986725025208E-3</c:v>
                  </c:pt>
                  <c:pt idx="4">
                    <c:v>5.0859282994028306E-3</c:v>
                  </c:pt>
                  <c:pt idx="5">
                    <c:v>8.9442719099991667E-4</c:v>
                  </c:pt>
                  <c:pt idx="6">
                    <c:v>1.3662601021279383E-3</c:v>
                  </c:pt>
                  <c:pt idx="7">
                    <c:v>6.4394616752230594E-3</c:v>
                  </c:pt>
                  <c:pt idx="8">
                    <c:v>1.1171392035015163E-2</c:v>
                  </c:pt>
                  <c:pt idx="9">
                    <c:v>5.8452259722500659E-3</c:v>
                  </c:pt>
                  <c:pt idx="10">
                    <c:v>1.173740459670137E-2</c:v>
                  </c:pt>
                  <c:pt idx="11">
                    <c:v>7.420691791650327E-3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'Calibration data'!$AA$2:$AA$13</c:f>
                <c:numCache>
                  <c:formatCode>General</c:formatCode>
                  <c:ptCount val="12"/>
                  <c:pt idx="0">
                    <c:v>4.4771985822257012E-4</c:v>
                  </c:pt>
                  <c:pt idx="1">
                    <c:v>2.2045961830776523E-4</c:v>
                  </c:pt>
                  <c:pt idx="2">
                    <c:v>2.2730393964354124E-4</c:v>
                  </c:pt>
                  <c:pt idx="3">
                    <c:v>3.1272360828165014E-4</c:v>
                  </c:pt>
                  <c:pt idx="4">
                    <c:v>1.0138714651533992E-4</c:v>
                  </c:pt>
                  <c:pt idx="5">
                    <c:v>3.6602886793451648E-4</c:v>
                  </c:pt>
                  <c:pt idx="6">
                    <c:v>2.6889555386480841E-4</c:v>
                  </c:pt>
                  <c:pt idx="7">
                    <c:v>5.3980032810625278E-4</c:v>
                  </c:pt>
                  <c:pt idx="8">
                    <c:v>1.9702227614184953E-3</c:v>
                  </c:pt>
                  <c:pt idx="9">
                    <c:v>1.9859254787816067E-3</c:v>
                  </c:pt>
                  <c:pt idx="10">
                    <c:v>1.376275164712669E-3</c:v>
                  </c:pt>
                  <c:pt idx="11">
                    <c:v>1.1011085279769904E-3</c:v>
                  </c:pt>
                </c:numCache>
              </c:numRef>
            </c:plus>
            <c:minus>
              <c:numRef>
                <c:f>'Calibration data'!$AA$2:$AA$13</c:f>
                <c:numCache>
                  <c:formatCode>General</c:formatCode>
                  <c:ptCount val="12"/>
                  <c:pt idx="0">
                    <c:v>4.4771985822257012E-4</c:v>
                  </c:pt>
                  <c:pt idx="1">
                    <c:v>2.2045961830776523E-4</c:v>
                  </c:pt>
                  <c:pt idx="2">
                    <c:v>2.2730393964354124E-4</c:v>
                  </c:pt>
                  <c:pt idx="3">
                    <c:v>3.1272360828165014E-4</c:v>
                  </c:pt>
                  <c:pt idx="4">
                    <c:v>1.0138714651533992E-4</c:v>
                  </c:pt>
                  <c:pt idx="5">
                    <c:v>3.6602886793451648E-4</c:v>
                  </c:pt>
                  <c:pt idx="6">
                    <c:v>2.6889555386480841E-4</c:v>
                  </c:pt>
                  <c:pt idx="7">
                    <c:v>5.3980032810625278E-4</c:v>
                  </c:pt>
                  <c:pt idx="8">
                    <c:v>1.9702227614184953E-3</c:v>
                  </c:pt>
                  <c:pt idx="9">
                    <c:v>1.9859254787816067E-3</c:v>
                  </c:pt>
                  <c:pt idx="10">
                    <c:v>1.376275164712669E-3</c:v>
                  </c:pt>
                  <c:pt idx="11">
                    <c:v>1.1011085279769904E-3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'Calibration data'!$Z$2:$Z$13</c:f>
              <c:numCache>
                <c:formatCode>General</c:formatCode>
                <c:ptCount val="12"/>
                <c:pt idx="0">
                  <c:v>1.4834024600906635E-3</c:v>
                </c:pt>
                <c:pt idx="1">
                  <c:v>3.747417348636884E-3</c:v>
                </c:pt>
                <c:pt idx="2">
                  <c:v>7.7023098118060131E-3</c:v>
                </c:pt>
                <c:pt idx="3">
                  <c:v>1.3411965246383967E-2</c:v>
                </c:pt>
                <c:pt idx="4">
                  <c:v>2.7977121856650699E-2</c:v>
                </c:pt>
                <c:pt idx="5">
                  <c:v>3.7580129964240032E-2</c:v>
                </c:pt>
                <c:pt idx="6">
                  <c:v>5.5805870440494808E-2</c:v>
                </c:pt>
                <c:pt idx="7">
                  <c:v>7.9207554489660784E-2</c:v>
                </c:pt>
                <c:pt idx="8">
                  <c:v>0.18290225138610683</c:v>
                </c:pt>
                <c:pt idx="9">
                  <c:v>0.15772777934335502</c:v>
                </c:pt>
                <c:pt idx="10">
                  <c:v>0.14382327275861989</c:v>
                </c:pt>
                <c:pt idx="11">
                  <c:v>0.12765822006487407</c:v>
                </c:pt>
              </c:numCache>
            </c:numRef>
          </c:xVal>
          <c:yVal>
            <c:numRef>
              <c:f>'Calibration data'!$G$2:$G$13</c:f>
              <c:numCache>
                <c:formatCode>0.000</c:formatCode>
                <c:ptCount val="12"/>
                <c:pt idx="0">
                  <c:v>7.6499999999999999E-2</c:v>
                </c:pt>
                <c:pt idx="1">
                  <c:v>8.083333333333334E-2</c:v>
                </c:pt>
                <c:pt idx="2">
                  <c:v>9.2666666666666661E-2</c:v>
                </c:pt>
                <c:pt idx="3">
                  <c:v>0.10266666666666667</c:v>
                </c:pt>
                <c:pt idx="4">
                  <c:v>0.14433333333333334</c:v>
                </c:pt>
                <c:pt idx="5">
                  <c:v>0.153</c:v>
                </c:pt>
                <c:pt idx="6">
                  <c:v>0.20533333333333334</c:v>
                </c:pt>
                <c:pt idx="7">
                  <c:v>0.23933333333333331</c:v>
                </c:pt>
                <c:pt idx="8">
                  <c:v>0.48500000000000004</c:v>
                </c:pt>
                <c:pt idx="9">
                  <c:v>0.4441666666666666</c:v>
                </c:pt>
                <c:pt idx="10">
                  <c:v>0.39383333333333342</c:v>
                </c:pt>
                <c:pt idx="11">
                  <c:v>0.33433333333333332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9-F544-8F7D-E537EEC6B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01232"/>
        <c:axId val="991190368"/>
      </c:scatterChart>
      <c:valAx>
        <c:axId val="190901232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90368"/>
        <c:crosses val="autoZero"/>
        <c:crossBetween val="midCat"/>
      </c:valAx>
      <c:valAx>
        <c:axId val="9911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0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 data'!$AE$1</c:f>
              <c:strCache>
                <c:ptCount val="1"/>
                <c:pt idx="0">
                  <c:v>worker5_avg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'Calibration data'!$H$2:$H$13</c:f>
                <c:numCache>
                  <c:formatCode>0.000</c:formatCode>
                  <c:ptCount val="12"/>
                  <c:pt idx="0">
                    <c:v>2.5099800796022287E-3</c:v>
                  </c:pt>
                  <c:pt idx="1">
                    <c:v>1.7224014243685101E-3</c:v>
                  </c:pt>
                  <c:pt idx="2">
                    <c:v>3.7237973450050545E-3</c:v>
                  </c:pt>
                  <c:pt idx="3">
                    <c:v>1.8618986725025208E-3</c:v>
                  </c:pt>
                  <c:pt idx="4">
                    <c:v>5.0859282994028306E-3</c:v>
                  </c:pt>
                  <c:pt idx="5">
                    <c:v>8.9442719099991667E-4</c:v>
                  </c:pt>
                  <c:pt idx="6">
                    <c:v>1.3662601021279383E-3</c:v>
                  </c:pt>
                  <c:pt idx="7">
                    <c:v>6.4394616752230594E-3</c:v>
                  </c:pt>
                  <c:pt idx="8">
                    <c:v>1.1171392035015163E-2</c:v>
                  </c:pt>
                  <c:pt idx="9">
                    <c:v>5.8452259722500659E-3</c:v>
                  </c:pt>
                  <c:pt idx="10">
                    <c:v>1.173740459670137E-2</c:v>
                  </c:pt>
                  <c:pt idx="11">
                    <c:v>7.420691791650327E-3</c:v>
                  </c:pt>
                </c:numCache>
              </c:numRef>
            </c:plus>
            <c:minus>
              <c:numRef>
                <c:f>'Calibration data'!$H$2:$H$13</c:f>
                <c:numCache>
                  <c:formatCode>0.000</c:formatCode>
                  <c:ptCount val="12"/>
                  <c:pt idx="0">
                    <c:v>2.5099800796022287E-3</c:v>
                  </c:pt>
                  <c:pt idx="1">
                    <c:v>1.7224014243685101E-3</c:v>
                  </c:pt>
                  <c:pt idx="2">
                    <c:v>3.7237973450050545E-3</c:v>
                  </c:pt>
                  <c:pt idx="3">
                    <c:v>1.8618986725025208E-3</c:v>
                  </c:pt>
                  <c:pt idx="4">
                    <c:v>5.0859282994028306E-3</c:v>
                  </c:pt>
                  <c:pt idx="5">
                    <c:v>8.9442719099991667E-4</c:v>
                  </c:pt>
                  <c:pt idx="6">
                    <c:v>1.3662601021279383E-3</c:v>
                  </c:pt>
                  <c:pt idx="7">
                    <c:v>6.4394616752230594E-3</c:v>
                  </c:pt>
                  <c:pt idx="8">
                    <c:v>1.1171392035015163E-2</c:v>
                  </c:pt>
                  <c:pt idx="9">
                    <c:v>5.8452259722500659E-3</c:v>
                  </c:pt>
                  <c:pt idx="10">
                    <c:v>1.173740459670137E-2</c:v>
                  </c:pt>
                  <c:pt idx="11">
                    <c:v>7.420691791650327E-3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'Calibration data'!$AF$2:$AF$13</c:f>
                <c:numCache>
                  <c:formatCode>General</c:formatCode>
                  <c:ptCount val="12"/>
                  <c:pt idx="0">
                    <c:v>2.1887357790752036E-4</c:v>
                  </c:pt>
                  <c:pt idx="1">
                    <c:v>5.1019231749508071E-4</c:v>
                  </c:pt>
                  <c:pt idx="2">
                    <c:v>1.2350038206573999E-4</c:v>
                  </c:pt>
                  <c:pt idx="3">
                    <c:v>4.9853713141296988E-4</c:v>
                  </c:pt>
                  <c:pt idx="4">
                    <c:v>2.0703590731202359E-3</c:v>
                  </c:pt>
                  <c:pt idx="5">
                    <c:v>4.7039249908067059E-4</c:v>
                  </c:pt>
                  <c:pt idx="6">
                    <c:v>3.4366694780317965E-4</c:v>
                  </c:pt>
                  <c:pt idx="7">
                    <c:v>3.7016793904037087E-4</c:v>
                  </c:pt>
                  <c:pt idx="8">
                    <c:v>4.0769126237175622E-3</c:v>
                  </c:pt>
                  <c:pt idx="9">
                    <c:v>3.9141115365971917E-3</c:v>
                  </c:pt>
                  <c:pt idx="10">
                    <c:v>2.9902755856819388E-3</c:v>
                  </c:pt>
                  <c:pt idx="11">
                    <c:v>2.7507384901865758E-3</c:v>
                  </c:pt>
                </c:numCache>
              </c:numRef>
            </c:plus>
            <c:minus>
              <c:numRef>
                <c:f>'Calibration data'!$AF$2:$AF$13</c:f>
                <c:numCache>
                  <c:formatCode>General</c:formatCode>
                  <c:ptCount val="12"/>
                  <c:pt idx="0">
                    <c:v>2.1887357790752036E-4</c:v>
                  </c:pt>
                  <c:pt idx="1">
                    <c:v>5.1019231749508071E-4</c:v>
                  </c:pt>
                  <c:pt idx="2">
                    <c:v>1.2350038206573999E-4</c:v>
                  </c:pt>
                  <c:pt idx="3">
                    <c:v>4.9853713141296988E-4</c:v>
                  </c:pt>
                  <c:pt idx="4">
                    <c:v>2.0703590731202359E-3</c:v>
                  </c:pt>
                  <c:pt idx="5">
                    <c:v>4.7039249908067059E-4</c:v>
                  </c:pt>
                  <c:pt idx="6">
                    <c:v>3.4366694780317965E-4</c:v>
                  </c:pt>
                  <c:pt idx="7">
                    <c:v>3.7016793904037087E-4</c:v>
                  </c:pt>
                  <c:pt idx="8">
                    <c:v>4.0769126237175622E-3</c:v>
                  </c:pt>
                  <c:pt idx="9">
                    <c:v>3.9141115365971917E-3</c:v>
                  </c:pt>
                  <c:pt idx="10">
                    <c:v>2.9902755856819388E-3</c:v>
                  </c:pt>
                  <c:pt idx="11">
                    <c:v>2.7507384901865758E-3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'Calibration data'!$AE$2:$AE$13</c:f>
              <c:numCache>
                <c:formatCode>General</c:formatCode>
                <c:ptCount val="12"/>
                <c:pt idx="0">
                  <c:v>1.9905029952393834E-3</c:v>
                </c:pt>
                <c:pt idx="1">
                  <c:v>6.341797969912244E-3</c:v>
                </c:pt>
                <c:pt idx="2">
                  <c:v>1.1896296175058033E-2</c:v>
                </c:pt>
                <c:pt idx="3">
                  <c:v>2.3934077592576236E-2</c:v>
                </c:pt>
                <c:pt idx="4">
                  <c:v>4.8171413932624065E-2</c:v>
                </c:pt>
                <c:pt idx="5">
                  <c:v>6.0508439295758831E-2</c:v>
                </c:pt>
                <c:pt idx="6">
                  <c:v>8.8502783495960732E-2</c:v>
                </c:pt>
                <c:pt idx="7">
                  <c:v>0.13625238786277602</c:v>
                </c:pt>
                <c:pt idx="8">
                  <c:v>0.34761781236784661</c:v>
                </c:pt>
                <c:pt idx="9">
                  <c:v>0.30174648787798847</c:v>
                </c:pt>
                <c:pt idx="10">
                  <c:v>0.27603624460529236</c:v>
                </c:pt>
                <c:pt idx="11">
                  <c:v>0.24309360545558634</c:v>
                </c:pt>
              </c:numCache>
            </c:numRef>
          </c:xVal>
          <c:yVal>
            <c:numRef>
              <c:f>'Calibration data'!$G$2:$G$13</c:f>
              <c:numCache>
                <c:formatCode>0.000</c:formatCode>
                <c:ptCount val="12"/>
                <c:pt idx="0">
                  <c:v>7.6499999999999999E-2</c:v>
                </c:pt>
                <c:pt idx="1">
                  <c:v>8.083333333333334E-2</c:v>
                </c:pt>
                <c:pt idx="2">
                  <c:v>9.2666666666666661E-2</c:v>
                </c:pt>
                <c:pt idx="3">
                  <c:v>0.10266666666666667</c:v>
                </c:pt>
                <c:pt idx="4">
                  <c:v>0.14433333333333334</c:v>
                </c:pt>
                <c:pt idx="5">
                  <c:v>0.153</c:v>
                </c:pt>
                <c:pt idx="6">
                  <c:v>0.20533333333333334</c:v>
                </c:pt>
                <c:pt idx="7">
                  <c:v>0.23933333333333331</c:v>
                </c:pt>
                <c:pt idx="8">
                  <c:v>0.48500000000000004</c:v>
                </c:pt>
                <c:pt idx="9">
                  <c:v>0.4441666666666666</c:v>
                </c:pt>
                <c:pt idx="10">
                  <c:v>0.39383333333333342</c:v>
                </c:pt>
                <c:pt idx="11">
                  <c:v>0.33433333333333332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DD-8E48-B315-3C92C5746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299872"/>
        <c:axId val="1053878319"/>
      </c:scatterChart>
      <c:valAx>
        <c:axId val="99129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878319"/>
        <c:crosses val="autoZero"/>
        <c:crossBetween val="midCat"/>
      </c:valAx>
      <c:valAx>
        <c:axId val="10538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29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66842</xdr:colOff>
      <xdr:row>13</xdr:row>
      <xdr:rowOff>4454</xdr:rowOff>
    </xdr:from>
    <xdr:to>
      <xdr:col>16</xdr:col>
      <xdr:colOff>1108687</xdr:colOff>
      <xdr:row>35</xdr:row>
      <xdr:rowOff>164875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B91BC-F0FF-72DD-E5A9-923F14BDB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79319</xdr:colOff>
      <xdr:row>13</xdr:row>
      <xdr:rowOff>11140</xdr:rowOff>
    </xdr:from>
    <xdr:to>
      <xdr:col>21</xdr:col>
      <xdr:colOff>1032042</xdr:colOff>
      <xdr:row>35</xdr:row>
      <xdr:rowOff>171561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F2995E-31A7-9E30-FAC1-2D9E63BC9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196570</xdr:colOff>
      <xdr:row>13</xdr:row>
      <xdr:rowOff>0</xdr:rowOff>
    </xdr:from>
    <xdr:to>
      <xdr:col>26</xdr:col>
      <xdr:colOff>1149293</xdr:colOff>
      <xdr:row>35</xdr:row>
      <xdr:rowOff>150417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0B3CCD-B526-CDEA-E02C-1E6AE6949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257564</xdr:colOff>
      <xdr:row>13</xdr:row>
      <xdr:rowOff>35203</xdr:rowOff>
    </xdr:from>
    <xdr:to>
      <xdr:col>31</xdr:col>
      <xdr:colOff>1210287</xdr:colOff>
      <xdr:row>35</xdr:row>
      <xdr:rowOff>195624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E5E3FC-8383-B8FC-BC9F-DBFD0585F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DB016-903A-1A41-9C4A-426F9860C88F}" name="Table2" displayName="Table2" ref="A1:E5" totalsRowShown="0">
  <autoFilter ref="A1:E5" xr:uid="{721DB016-903A-1A41-9C4A-426F9860C88F}"/>
  <tableColumns count="5">
    <tableColumn id="1" xr3:uid="{AE53B264-C2AC-AA43-9557-248777369BA5}" name="Pioreactor name"/>
    <tableColumn id="5" xr3:uid="{94B35DE0-15E9-9446-83DE-45A99E4A38EA}" name="Step #"/>
    <tableColumn id="2" xr3:uid="{8A9EFF07-C706-8142-825B-3F6150958EF1}" name="Pioreactor OD" dataDxfId="36"/>
    <tableColumn id="3" xr3:uid="{03A2F912-C825-AA4F-A660-E3CE0FFA1C58}" name="Real OD">
      <calculatedColumnFormula>C9*C2+D9</calculatedColumnFormula>
    </tableColumn>
    <tableColumn id="4" xr3:uid="{DF260704-0315-D946-9AFD-E8EB8F680F41}" name="Sub culture?" dataDxfId="35">
      <calculatedColumnFormula>IF(D2&gt;H2, "YES", "NO")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75FFBD-FB90-2447-A3B4-6E429B355DAB}" name="Table25" displayName="Table25" ref="A1:F78" totalsRowShown="0">
  <autoFilter ref="A1:F78" xr:uid="{2175FFBD-FB90-2447-A3B4-6E429B355DAB}"/>
  <tableColumns count="6">
    <tableColumn id="7" xr3:uid="{44629DA6-8B82-9840-A632-2C16ECD8E893}" name="Date"/>
    <tableColumn id="1" xr3:uid="{256BD387-7F0E-3240-9430-CB31B649E0D8}" name="Pioreactor name"/>
    <tableColumn id="8" xr3:uid="{D6884F41-401F-F94D-98A3-F0F35F90B9A5}" name="Step #"/>
    <tableColumn id="2" xr3:uid="{4C138C00-5DC1-884F-9607-D84E4B627866}" name="Pioreactor OD" dataDxfId="31"/>
    <tableColumn id="3" xr3:uid="{DC445D6D-BB7B-4D4D-A852-D904D4C42E64}" name="Real OD" dataDxfId="30"/>
    <tableColumn id="4" xr3:uid="{B6C3F51E-FCC4-2047-A374-1B0F36BC0B2D}" name="Sub culture?" dataDxfId="29">
      <calculatedColumnFormula>IF(E2&gt;$I$2, "YES", "NO")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5C2E80-1BBA-C746-AD8F-36683BD34F50}" name="Table1" displayName="Table1" ref="A1:AF13" totalsRowShown="0">
  <autoFilter ref="A1:AF13" xr:uid="{AD5C2E80-1BBA-C746-AD8F-36683BD34F50}"/>
  <sortState xmlns:xlrd2="http://schemas.microsoft.com/office/spreadsheetml/2017/richdata2" ref="A2:AE9">
    <sortCondition ref="A1:A9"/>
  </sortState>
  <tableColumns count="32">
    <tableColumn id="7" xr3:uid="{A2DF8F58-3F79-C04E-89A8-9EA8AC4A57C9}" name="culture_vol"/>
    <tableColumn id="8" xr3:uid="{3C2CEB88-EAFE-BA47-AAF9-DD62C353A8C4}" name="water_vol"/>
    <tableColumn id="1" xr3:uid="{3C3CA45B-E3E8-C341-8DE0-A34565CFB890}" name="vial"/>
    <tableColumn id="2" xr3:uid="{98B135C0-4A7E-C448-BCCF-F84C6C72E200}" name="od600_1-1" dataDxfId="28"/>
    <tableColumn id="9" xr3:uid="{2F2D9F82-1A44-5F4C-AA36-80190C12849C}" name="od600_1-2" dataDxfId="27"/>
    <tableColumn id="14" xr3:uid="{E2275401-FC7A-A448-8B54-D12D7CFC9F76}" name="od600_1-3" dataDxfId="26"/>
    <tableColumn id="13" xr3:uid="{C74F9D87-05CA-0140-BAD9-6B99FA735495}" name="od600_1_avg" dataDxfId="25">
      <calculatedColumnFormula>AVERAGE(D2:F2,I2:K2)</calculatedColumnFormula>
    </tableColumn>
    <tableColumn id="10" xr3:uid="{8B613080-76BE-944B-85CF-19EEDC61AA7D}" name="std" dataDxfId="24">
      <calculatedColumnFormula>STDEV(D2:F2,I2:K2)</calculatedColumnFormula>
    </tableColumn>
    <tableColumn id="11" xr3:uid="{BC9F4329-E141-CA45-A663-4064D129099B}" name="od600_2-1" dataDxfId="23"/>
    <tableColumn id="12" xr3:uid="{6878CAC1-9B7F-354C-929E-710D67EA7E59}" name="od600_2-2" dataDxfId="22"/>
    <tableColumn id="16" xr3:uid="{9F59E7AA-78F7-5049-BBFC-64E1D479F13E}" name="od600_2-3" dataDxfId="21"/>
    <tableColumn id="15" xr3:uid="{89B0C86A-6810-D249-8D00-1B94D0BED874}" name="od600_2_avg" dataDxfId="20">
      <calculatedColumnFormula>AVERAGE(Table1[[#This Row],[od600_2-1]:[od600_2-3]])</calculatedColumnFormula>
    </tableColumn>
    <tableColumn id="3" xr3:uid="{5E02C496-2EF5-694D-B0CC-1E5D31C7E48F}" name="worker2-1" dataDxfId="19"/>
    <tableColumn id="18" xr3:uid="{1C991E53-BBF4-5945-9858-06D14054729E}" name="worker2-2" dataDxfId="18"/>
    <tableColumn id="23" xr3:uid="{0E303F32-6690-4747-97BF-A1870E6672DC}" name="worker2-3" dataDxfId="17"/>
    <tableColumn id="28" xr3:uid="{B835BA8F-496E-854B-962E-13EDD12C6959}" name="worker2_avg" dataDxfId="16">
      <calculatedColumnFormula>AVERAGE(Table1[[#This Row],[worker2-1]:[worker2-3]])</calculatedColumnFormula>
    </tableColumn>
    <tableColumn id="17" xr3:uid="{FED73547-5A92-7446-8C9F-F235135486C3}" name="std2" dataDxfId="15">
      <calculatedColumnFormula>STDEV(Table1[[#This Row],[worker2-1]:[worker2-3]])</calculatedColumnFormula>
    </tableColumn>
    <tableColumn id="4" xr3:uid="{FFAC221C-6414-8D45-8329-6C95ADD5D53D}" name="worker3-1" dataDxfId="14"/>
    <tableColumn id="19" xr3:uid="{042F03F6-7AC6-4D41-8A96-794683D50C7A}" name="worker3-2" dataDxfId="13"/>
    <tableColumn id="24" xr3:uid="{380E3952-C3FC-9845-AE70-9184A1567218}" name="worker3-3" dataDxfId="12"/>
    <tableColumn id="29" xr3:uid="{71C476E7-E625-304C-BB6E-47F2A4D0B6B9}" name="worker3_avg" dataDxfId="11">
      <calculatedColumnFormula>AVERAGE(Table1[[#This Row],[worker3-1]:[worker3-3]])</calculatedColumnFormula>
    </tableColumn>
    <tableColumn id="21" xr3:uid="{9DA19D0D-8850-F645-A9F8-0BE61579E435}" name="Column1" dataDxfId="10">
      <calculatedColumnFormula>STDEV(Table1[[#This Row],[worker3-1]:[worker3-3]])</calculatedColumnFormula>
    </tableColumn>
    <tableColumn id="5" xr3:uid="{5FF83626-6D14-F34B-B5C4-D9AADC08D22D}" name="worker4-1" dataDxfId="9"/>
    <tableColumn id="20" xr3:uid="{FE5EC4F3-DD8D-3F4D-B4C8-2526C9F48373}" name="worker4-2" dataDxfId="8"/>
    <tableColumn id="25" xr3:uid="{D8D2A4EF-9FAE-F44E-9BDD-BB6DA173C5D5}" name="worker4-3" dataDxfId="7"/>
    <tableColumn id="30" xr3:uid="{BDF27C09-4E6F-4E49-B78F-4C769CD1400B}" name="worker4_avg" dataDxfId="6">
      <calculatedColumnFormula>AVERAGE(Table1[[#This Row],[worker4-1]:[worker4-3]])</calculatedColumnFormula>
    </tableColumn>
    <tableColumn id="22" xr3:uid="{7F579DCD-9D44-CF48-A784-EF1FD46140DD}" name="Column2" dataDxfId="5">
      <calculatedColumnFormula>STDEV(Table1[[#This Row],[worker4-1]:[worker4-3]])</calculatedColumnFormula>
    </tableColumn>
    <tableColumn id="6" xr3:uid="{DE3F38B1-DB10-1F47-8563-14FE0395DA56}" name="worker5-1" dataDxfId="4"/>
    <tableColumn id="26" xr3:uid="{E10065F5-4A02-184C-9ECC-305B86F6BD8B}" name="worker5-2" dataDxfId="3"/>
    <tableColumn id="27" xr3:uid="{1FD44669-65E6-E34C-99F5-E5014E3603C3}" name="worker5-3" dataDxfId="2"/>
    <tableColumn id="31" xr3:uid="{88517266-DD16-3142-B5F8-D9B195856587}" name="worker5_avg" dataDxfId="1">
      <calculatedColumnFormula>AVERAGE(Table1[[#This Row],[worker5-1]:[worker5-3]])</calculatedColumnFormula>
    </tableColumn>
    <tableColumn id="32" xr3:uid="{9E371940-D545-6642-9C0E-3CA3AEE8DBFB}" name="Column3" dataDxfId="0">
      <calculatedColumnFormula>STDEV(Table1[[#This Row],[worker5-1]:[worker5-3]])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DC55-4219-C845-A78E-5CF8F7F4866E}">
  <dimension ref="A1:H12"/>
  <sheetViews>
    <sheetView zoomScale="75" zoomScaleNormal="75" workbookViewId="0">
      <selection activeCell="C4" sqref="C4"/>
    </sheetView>
  </sheetViews>
  <sheetFormatPr defaultColWidth="11" defaultRowHeight="15.95"/>
  <cols>
    <col min="1" max="2" width="16.875" customWidth="1"/>
    <col min="3" max="3" width="15" customWidth="1"/>
    <col min="5" max="5" width="13.5" customWidth="1"/>
    <col min="7" max="7" width="15.875" customWidth="1"/>
  </cols>
  <sheetData>
    <row r="1" spans="1:8" ht="17.100000000000001" thickBo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ht="17.100000000000001" thickBot="1">
      <c r="A2" t="s">
        <v>5</v>
      </c>
      <c r="B2">
        <v>1</v>
      </c>
      <c r="C2">
        <v>8.2000000000000003E-2</v>
      </c>
      <c r="D2">
        <f>C9*C2+D9</f>
        <v>0.1907047334728367</v>
      </c>
      <c r="E2" t="str">
        <f>IF(D2&gt;H2, "YES", "NO")</f>
        <v>NO</v>
      </c>
      <c r="G2" s="19" t="s">
        <v>6</v>
      </c>
      <c r="H2" s="20">
        <v>0.24</v>
      </c>
    </row>
    <row r="3" spans="1:8" ht="15.75">
      <c r="A3" t="s">
        <v>7</v>
      </c>
      <c r="B3">
        <v>1</v>
      </c>
      <c r="C3" s="36">
        <v>6.0000000000000001E-3</v>
      </c>
      <c r="D3">
        <f>C10*C3+D10</f>
        <v>7.5506150873080838E-2</v>
      </c>
      <c r="E3" t="str">
        <f>IF(D3&gt;H2, "YES", "NO")</f>
        <v>NO</v>
      </c>
    </row>
    <row r="4" spans="1:8">
      <c r="A4" t="s">
        <v>8</v>
      </c>
      <c r="B4">
        <v>1</v>
      </c>
      <c r="C4" s="10">
        <v>6.0000000000000001E-3</v>
      </c>
      <c r="D4">
        <f>C11*C4+D11</f>
        <v>8.6459250913760194E-2</v>
      </c>
      <c r="E4" t="str">
        <f>IF(D4&gt;H2, "YES", "NO")</f>
        <v>NO</v>
      </c>
    </row>
    <row r="5" spans="1:8" ht="15.75">
      <c r="A5" t="s">
        <v>9</v>
      </c>
      <c r="B5">
        <v>1</v>
      </c>
      <c r="C5" s="36">
        <v>0.20799999999999999</v>
      </c>
      <c r="D5">
        <f>C12*C5+D12</f>
        <v>0.32078968916104961</v>
      </c>
      <c r="E5" t="str">
        <f>IF(D5&gt;H2, "YES", "NO")</f>
        <v>YES</v>
      </c>
    </row>
    <row r="7" spans="1:8" ht="17.100000000000001" thickBot="1"/>
    <row r="8" spans="1:8">
      <c r="B8" s="23"/>
      <c r="C8" s="24" t="s">
        <v>10</v>
      </c>
      <c r="D8" s="25" t="s">
        <v>11</v>
      </c>
    </row>
    <row r="9" spans="1:8">
      <c r="B9" s="26" t="s">
        <v>12</v>
      </c>
      <c r="C9" cm="1">
        <f t="array" ref="C9:D9">LINEST(Table1[od600_1_avg], Table1[worker2_avg])</f>
        <v>1.3250177237177965</v>
      </c>
      <c r="D9" s="27">
        <v>8.2053280127977385E-2</v>
      </c>
    </row>
    <row r="10" spans="1:8">
      <c r="B10" s="26" t="s">
        <v>13</v>
      </c>
      <c r="C10" cm="1">
        <f t="array" ref="C10:D10">LINEST(Table1[od600_1_avg], Table1[worker3_avg])</f>
        <v>2.1847075141019481</v>
      </c>
      <c r="D10" s="27">
        <v>6.2397905788469155E-2</v>
      </c>
    </row>
    <row r="11" spans="1:8">
      <c r="B11" s="26" t="s">
        <v>14</v>
      </c>
      <c r="C11" cm="1">
        <f t="array" ref="C11:D11">LINEST(Table1[od600_1_avg], Table1[worker4_avg])</f>
        <v>2.2352385629938132</v>
      </c>
      <c r="D11" s="27">
        <v>7.3047819535797309E-2</v>
      </c>
    </row>
    <row r="12" spans="1:8" ht="17.100000000000001" thickBot="1">
      <c r="B12" s="28" t="s">
        <v>15</v>
      </c>
      <c r="C12" s="29" cm="1">
        <f t="array" ref="C12:D12">LINEST(Table1[od600_1_avg], Table1[worker5_avg])</f>
        <v>1.1553498825135995</v>
      </c>
      <c r="D12" s="30">
        <v>8.0476913598220928E-2</v>
      </c>
    </row>
  </sheetData>
  <phoneticPr fontId="1" type="noConversion"/>
  <conditionalFormatting sqref="B2:C5">
    <cfRule type="containsText" dxfId="37" priority="1" stopIfTrue="1" operator="containsText" text="YES">
      <formula>NOT(ISERROR(SEARCH("YES",B2)))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D1CF-C2FF-8B49-A625-A057F588CF0D}">
  <dimension ref="A1:M78"/>
  <sheetViews>
    <sheetView tabSelected="1" zoomScale="70" workbookViewId="0">
      <selection activeCell="C10" sqref="C10"/>
    </sheetView>
  </sheetViews>
  <sheetFormatPr defaultColWidth="11" defaultRowHeight="15.95"/>
  <cols>
    <col min="1" max="1" width="15.375" bestFit="1" customWidth="1"/>
    <col min="2" max="2" width="17.375" bestFit="1" customWidth="1"/>
    <col min="3" max="3" width="15.375" style="10" bestFit="1" customWidth="1"/>
    <col min="4" max="4" width="10.625" style="11" bestFit="1" customWidth="1"/>
    <col min="5" max="5" width="13.875" bestFit="1" customWidth="1"/>
    <col min="6" max="6" width="13.875" customWidth="1"/>
    <col min="8" max="8" width="18.125" bestFit="1" customWidth="1"/>
    <col min="9" max="9" width="18.375" bestFit="1" customWidth="1"/>
  </cols>
  <sheetData>
    <row r="1" spans="1:13" ht="17.100000000000001" thickBot="1">
      <c r="A1" t="s">
        <v>16</v>
      </c>
      <c r="B1" t="s">
        <v>0</v>
      </c>
      <c r="C1" t="s">
        <v>1</v>
      </c>
      <c r="D1" s="10" t="s">
        <v>2</v>
      </c>
      <c r="E1" s="11" t="s">
        <v>3</v>
      </c>
      <c r="F1" t="s">
        <v>4</v>
      </c>
    </row>
    <row r="2" spans="1:13" ht="17.100000000000001" thickBot="1">
      <c r="A2" s="9">
        <v>45587.587500000001</v>
      </c>
      <c r="B2" t="s">
        <v>5</v>
      </c>
      <c r="C2">
        <v>1</v>
      </c>
      <c r="D2" s="10">
        <v>3.9E-2</v>
      </c>
      <c r="E2" s="22">
        <f>Table25[[#This Row],[Pioreactor OD]]*$L$3+$M$3</f>
        <v>0.13372897135297146</v>
      </c>
      <c r="F2" t="str">
        <f t="shared" ref="F2:F33" si="0">IF(E2&gt;$I$2, "YES", "NO")</f>
        <v>NO</v>
      </c>
      <c r="H2" s="12" t="s">
        <v>6</v>
      </c>
      <c r="I2" s="13">
        <v>0.24</v>
      </c>
      <c r="K2" s="23"/>
      <c r="L2" s="24" t="s">
        <v>10</v>
      </c>
      <c r="M2" s="25" t="s">
        <v>11</v>
      </c>
    </row>
    <row r="3" spans="1:13">
      <c r="A3" s="9">
        <v>45587.587500000001</v>
      </c>
      <c r="B3" t="s">
        <v>7</v>
      </c>
      <c r="C3">
        <v>1</v>
      </c>
      <c r="D3" s="10">
        <v>1.7999999999999999E-2</v>
      </c>
      <c r="E3" s="22">
        <f>Table25[[#This Row],[Pioreactor OD]]*$L$4+$M$4</f>
        <v>0.10172264104230422</v>
      </c>
      <c r="F3" t="str">
        <f t="shared" si="0"/>
        <v>NO</v>
      </c>
      <c r="K3" s="26" t="s">
        <v>12</v>
      </c>
      <c r="L3" cm="1">
        <f t="array" ref="L3:M3">LINEST(Table1[od600_1_avg], Table1[worker2_avg])</f>
        <v>1.3250177237177965</v>
      </c>
      <c r="M3" s="27">
        <v>8.2053280127977385E-2</v>
      </c>
    </row>
    <row r="4" spans="1:13">
      <c r="A4" s="9">
        <v>45587.587500000001</v>
      </c>
      <c r="B4" t="s">
        <v>8</v>
      </c>
      <c r="C4">
        <v>1</v>
      </c>
      <c r="D4" s="10">
        <v>2.1999999999999999E-2</v>
      </c>
      <c r="E4" s="22">
        <f>Table25[[#This Row],[Pioreactor OD]]*$L$5+$M$5</f>
        <v>0.1222230679216612</v>
      </c>
      <c r="F4" t="str">
        <f t="shared" si="0"/>
        <v>NO</v>
      </c>
      <c r="K4" s="26" t="s">
        <v>13</v>
      </c>
      <c r="L4" cm="1">
        <f t="array" ref="L4:M4">LINEST(Table1[od600_1_avg], Table1[worker3_avg])</f>
        <v>2.1847075141019481</v>
      </c>
      <c r="M4" s="27">
        <v>6.2397905788469155E-2</v>
      </c>
    </row>
    <row r="5" spans="1:13">
      <c r="A5" s="9">
        <v>45587.587500000001</v>
      </c>
      <c r="B5" t="s">
        <v>9</v>
      </c>
      <c r="C5">
        <v>1</v>
      </c>
      <c r="D5" s="10">
        <v>7.0000000000000001E-3</v>
      </c>
      <c r="E5" s="22">
        <f>Table25[[#This Row],[Pioreactor OD]]*$L$6+$M$6</f>
        <v>8.8564362775816127E-2</v>
      </c>
      <c r="F5" t="str">
        <f t="shared" si="0"/>
        <v>NO</v>
      </c>
      <c r="K5" s="26" t="s">
        <v>14</v>
      </c>
      <c r="L5" cm="1">
        <f t="array" ref="L5:M5">LINEST(Table1[od600_1_avg], Table1[worker4_avg])</f>
        <v>2.2352385629938132</v>
      </c>
      <c r="M5" s="27">
        <v>7.3047819535797309E-2</v>
      </c>
    </row>
    <row r="6" spans="1:13" ht="17.100000000000001" thickBot="1">
      <c r="A6" s="14">
        <v>45587.681944444441</v>
      </c>
      <c r="B6" t="s">
        <v>5</v>
      </c>
      <c r="C6">
        <v>1</v>
      </c>
      <c r="D6">
        <v>6.5000000000000002E-2</v>
      </c>
      <c r="E6" s="22">
        <f>Table25[[#This Row],[Pioreactor OD]]*$L$3+$M$3</f>
        <v>0.16817943216963416</v>
      </c>
      <c r="F6" t="str">
        <f t="shared" si="0"/>
        <v>NO</v>
      </c>
      <c r="K6" s="28" t="s">
        <v>15</v>
      </c>
      <c r="L6" s="29" cm="1">
        <f t="array" ref="L6:M6">LINEST(Table1[od600_1_avg], Table1[worker5_avg])</f>
        <v>1.1553498825135995</v>
      </c>
      <c r="M6" s="30">
        <v>8.0476913598220928E-2</v>
      </c>
    </row>
    <row r="7" spans="1:13">
      <c r="A7" s="14">
        <v>45587.681944444441</v>
      </c>
      <c r="B7" t="s">
        <v>7</v>
      </c>
      <c r="C7">
        <v>1</v>
      </c>
      <c r="D7">
        <v>0.03</v>
      </c>
      <c r="E7" s="22">
        <f>Table25[[#This Row],[Pioreactor OD]]*$L$4+$M$4</f>
        <v>0.12793913121152761</v>
      </c>
      <c r="F7" t="str">
        <f t="shared" si="0"/>
        <v>NO</v>
      </c>
    </row>
    <row r="8" spans="1:13">
      <c r="A8" s="14">
        <v>45587.681944444441</v>
      </c>
      <c r="B8" t="s">
        <v>8</v>
      </c>
      <c r="C8">
        <v>1</v>
      </c>
      <c r="D8">
        <v>0.04</v>
      </c>
      <c r="E8" s="22">
        <f>Table25[[#This Row],[Pioreactor OD]]*$L$5+$M$5</f>
        <v>0.16245736205554984</v>
      </c>
      <c r="F8" t="str">
        <f t="shared" si="0"/>
        <v>NO</v>
      </c>
    </row>
    <row r="9" spans="1:13">
      <c r="A9" s="14">
        <v>45587.681944444441</v>
      </c>
      <c r="B9" t="s">
        <v>9</v>
      </c>
      <c r="C9">
        <v>1</v>
      </c>
      <c r="D9">
        <v>8.0000000000000002E-3</v>
      </c>
      <c r="E9" s="22">
        <f>Table25[[#This Row],[Pioreactor OD]]*$L$6+$M$6</f>
        <v>8.9719712658329731E-2</v>
      </c>
      <c r="F9" t="str">
        <f t="shared" si="0"/>
        <v>NO</v>
      </c>
    </row>
    <row r="10" spans="1:13">
      <c r="A10" s="14">
        <v>45587.729166666664</v>
      </c>
      <c r="B10" t="s">
        <v>5</v>
      </c>
      <c r="C10">
        <v>1</v>
      </c>
      <c r="D10">
        <v>9.0999999999999998E-2</v>
      </c>
      <c r="E10" s="22">
        <f>Table25[[#This Row],[Pioreactor OD]]*$L$3+$M$3</f>
        <v>0.20262989298629686</v>
      </c>
      <c r="F10" t="str">
        <f t="shared" si="0"/>
        <v>NO</v>
      </c>
    </row>
    <row r="11" spans="1:13">
      <c r="A11" s="14">
        <v>45587.729166666664</v>
      </c>
      <c r="B11" t="s">
        <v>7</v>
      </c>
      <c r="C11">
        <v>1</v>
      </c>
      <c r="D11">
        <v>3.9E-2</v>
      </c>
      <c r="E11" s="22">
        <f>Table25[[#This Row],[Pioreactor OD]]*$L$4+$M$4</f>
        <v>0.14760149883844514</v>
      </c>
      <c r="F11" t="str">
        <f t="shared" si="0"/>
        <v>NO</v>
      </c>
    </row>
    <row r="12" spans="1:13">
      <c r="A12" s="14">
        <v>45587.729166666664</v>
      </c>
      <c r="B12" t="s">
        <v>8</v>
      </c>
      <c r="C12">
        <v>1</v>
      </c>
      <c r="D12">
        <v>5.3999999999999999E-2</v>
      </c>
      <c r="E12" s="22">
        <f>Table25[[#This Row],[Pioreactor OD]]*$L$5+$M$5</f>
        <v>0.19375070193746322</v>
      </c>
      <c r="F12" t="str">
        <f t="shared" si="0"/>
        <v>NO</v>
      </c>
      <c r="L12" s="21"/>
    </row>
    <row r="13" spans="1:13">
      <c r="A13" s="14">
        <v>45587.729166666664</v>
      </c>
      <c r="B13" t="s">
        <v>9</v>
      </c>
      <c r="C13">
        <v>1</v>
      </c>
      <c r="D13">
        <v>8.0000000000000002E-3</v>
      </c>
      <c r="E13" s="22">
        <f>Table25[[#This Row],[Pioreactor OD]]*$L$6+$M$6</f>
        <v>8.9719712658329731E-2</v>
      </c>
      <c r="F13" t="str">
        <f t="shared" si="0"/>
        <v>NO</v>
      </c>
      <c r="L13" s="22"/>
    </row>
    <row r="14" spans="1:13">
      <c r="A14" s="14">
        <v>45587.625</v>
      </c>
      <c r="B14" t="s">
        <v>5</v>
      </c>
      <c r="C14">
        <v>1</v>
      </c>
      <c r="D14">
        <v>4.8000000000000001E-2</v>
      </c>
      <c r="E14" s="22">
        <f>Table25[[#This Row],[Pioreactor OD]]*$L$3+$M$3</f>
        <v>0.14565413086643161</v>
      </c>
      <c r="F14" t="str">
        <f t="shared" si="0"/>
        <v>NO</v>
      </c>
      <c r="L14" s="22"/>
    </row>
    <row r="15" spans="1:13">
      <c r="A15" s="14">
        <v>45587.625</v>
      </c>
      <c r="B15" t="s">
        <v>7</v>
      </c>
      <c r="C15">
        <v>1</v>
      </c>
      <c r="D15" s="10">
        <v>2.3E-2</v>
      </c>
      <c r="E15" s="22">
        <f>Table25[[#This Row],[Pioreactor OD]]*$L$4+$M$4</f>
        <v>0.11264617861281395</v>
      </c>
      <c r="F15" t="str">
        <f t="shared" si="0"/>
        <v>NO</v>
      </c>
      <c r="L15" s="22"/>
    </row>
    <row r="16" spans="1:13">
      <c r="A16" s="14">
        <v>45587.625</v>
      </c>
      <c r="B16" t="s">
        <v>8</v>
      </c>
      <c r="C16">
        <v>1</v>
      </c>
      <c r="D16" s="10">
        <v>2.9000000000000001E-2</v>
      </c>
      <c r="E16" s="22">
        <f>Table25[[#This Row],[Pioreactor OD]]*$L$5+$M$5</f>
        <v>0.13786973786261791</v>
      </c>
      <c r="F16" t="str">
        <f t="shared" si="0"/>
        <v>NO</v>
      </c>
      <c r="L16" s="22"/>
    </row>
    <row r="17" spans="1:12">
      <c r="A17" s="14">
        <v>45587.625</v>
      </c>
      <c r="B17" t="s">
        <v>9</v>
      </c>
      <c r="C17">
        <v>1</v>
      </c>
      <c r="D17" s="10">
        <v>7.0000000000000001E-3</v>
      </c>
      <c r="E17" s="22">
        <f>Table25[[#This Row],[Pioreactor OD]]*$L$6+$M$6</f>
        <v>8.8564362775816127E-2</v>
      </c>
      <c r="F17" t="str">
        <f t="shared" si="0"/>
        <v>NO</v>
      </c>
      <c r="L17" s="21"/>
    </row>
    <row r="18" spans="1:12">
      <c r="A18" s="14">
        <v>45587.757638888892</v>
      </c>
      <c r="B18" t="s">
        <v>5</v>
      </c>
      <c r="C18">
        <v>1</v>
      </c>
      <c r="D18" s="10">
        <v>9.8000000000000004E-2</v>
      </c>
      <c r="E18" s="22">
        <f>Table25[[#This Row],[Pioreactor OD]]*$L$3+$M$3</f>
        <v>0.21190501705232145</v>
      </c>
      <c r="F18" t="str">
        <f t="shared" si="0"/>
        <v>NO</v>
      </c>
      <c r="L18" s="21"/>
    </row>
    <row r="19" spans="1:12">
      <c r="A19" s="14">
        <v>45587.757638888892</v>
      </c>
      <c r="B19" t="s">
        <v>7</v>
      </c>
      <c r="C19">
        <v>1</v>
      </c>
      <c r="D19" s="10">
        <v>4.4999999999999998E-2</v>
      </c>
      <c r="E19" s="22">
        <f>Table25[[#This Row],[Pioreactor OD]]*$L$4+$M$4</f>
        <v>0.16070974392305681</v>
      </c>
      <c r="F19" t="str">
        <f t="shared" si="0"/>
        <v>NO</v>
      </c>
      <c r="L19" s="21"/>
    </row>
    <row r="20" spans="1:12">
      <c r="A20" s="14">
        <v>45587.757638888892</v>
      </c>
      <c r="B20" t="s">
        <v>8</v>
      </c>
      <c r="C20">
        <v>1</v>
      </c>
      <c r="D20" s="10">
        <v>6.2E-2</v>
      </c>
      <c r="E20" s="22">
        <f>Table25[[#This Row],[Pioreactor OD]]*$L$5+$M$5</f>
        <v>0.21163261044141374</v>
      </c>
      <c r="F20" t="str">
        <f t="shared" si="0"/>
        <v>NO</v>
      </c>
    </row>
    <row r="21" spans="1:12">
      <c r="A21" s="14">
        <v>45587.757638888892</v>
      </c>
      <c r="B21" t="s">
        <v>9</v>
      </c>
      <c r="C21">
        <v>1</v>
      </c>
      <c r="D21" s="10">
        <v>8.0000000000000002E-3</v>
      </c>
      <c r="E21" s="22">
        <f>Table25[[#This Row],[Pioreactor OD]]*$L$6+$M$6</f>
        <v>8.9719712658329731E-2</v>
      </c>
      <c r="F21" t="str">
        <f t="shared" si="0"/>
        <v>NO</v>
      </c>
    </row>
    <row r="22" spans="1:12">
      <c r="A22" s="14">
        <v>45587.76666666667</v>
      </c>
      <c r="B22" t="s">
        <v>5</v>
      </c>
      <c r="C22">
        <v>1</v>
      </c>
      <c r="D22" s="10">
        <v>0.1</v>
      </c>
      <c r="E22" s="22">
        <f>Table25[[#This Row],[Pioreactor OD]]*$L$3+$M$3</f>
        <v>0.21455505249975704</v>
      </c>
      <c r="F22" t="str">
        <f>IF(E22&gt;$I$2, "YES", "NO")</f>
        <v>NO</v>
      </c>
    </row>
    <row r="23" spans="1:12">
      <c r="A23" s="14">
        <v>45587.76666666667</v>
      </c>
      <c r="B23" t="s">
        <v>7</v>
      </c>
      <c r="C23">
        <v>1</v>
      </c>
      <c r="D23" s="10">
        <v>4.7E-2</v>
      </c>
      <c r="E23" s="22">
        <f>Table25[[#This Row],[Pioreactor OD]]*$L$4+$M$4</f>
        <v>0.16507915895126071</v>
      </c>
      <c r="F23" t="str">
        <f t="shared" si="0"/>
        <v>NO</v>
      </c>
    </row>
    <row r="24" spans="1:12">
      <c r="A24" s="14">
        <v>45587.76666666667</v>
      </c>
      <c r="B24" t="s">
        <v>8</v>
      </c>
      <c r="C24">
        <v>1</v>
      </c>
      <c r="D24" s="10">
        <v>6.4000000000000001E-2</v>
      </c>
      <c r="E24" s="22">
        <f>Table25[[#This Row],[Pioreactor OD]]*$L$5+$M$5</f>
        <v>0.21610308756740135</v>
      </c>
      <c r="F24" t="str">
        <f t="shared" si="0"/>
        <v>NO</v>
      </c>
    </row>
    <row r="25" spans="1:12">
      <c r="A25" s="14">
        <v>45587.76666666667</v>
      </c>
      <c r="B25" t="s">
        <v>9</v>
      </c>
      <c r="C25">
        <v>1</v>
      </c>
      <c r="D25" s="10">
        <v>8.0000000000000002E-3</v>
      </c>
      <c r="E25" s="22">
        <f>Table25[[#This Row],[Pioreactor OD]]*$L$6+$M$6</f>
        <v>8.9719712658329731E-2</v>
      </c>
      <c r="F25" t="str">
        <f t="shared" si="0"/>
        <v>NO</v>
      </c>
      <c r="H25" t="s">
        <v>17</v>
      </c>
      <c r="I25" s="15">
        <v>0.76944444444444449</v>
      </c>
    </row>
    <row r="26" spans="1:12">
      <c r="A26" s="14">
        <v>45587.775694444441</v>
      </c>
      <c r="B26" t="s">
        <v>5</v>
      </c>
      <c r="C26">
        <v>2</v>
      </c>
      <c r="D26" s="10">
        <v>3.0000000000000001E-3</v>
      </c>
      <c r="E26" s="22">
        <f>Table25[[#This Row],[Pioreactor OD]]*$L$3+$M$3</f>
        <v>8.6028333299130774E-2</v>
      </c>
      <c r="F26" t="str">
        <f t="shared" si="0"/>
        <v>NO</v>
      </c>
    </row>
    <row r="27" spans="1:12">
      <c r="A27" s="14">
        <v>45587.775694444441</v>
      </c>
      <c r="B27" t="s">
        <v>7</v>
      </c>
      <c r="C27">
        <v>1</v>
      </c>
      <c r="D27" s="10">
        <v>4.8000000000000001E-2</v>
      </c>
      <c r="E27" s="22">
        <f>Table25[[#This Row],[Pioreactor OD]]*$L$4+$M$4</f>
        <v>0.16726386646536268</v>
      </c>
      <c r="F27" t="str">
        <f t="shared" si="0"/>
        <v>NO</v>
      </c>
    </row>
    <row r="28" spans="1:12">
      <c r="A28" s="14">
        <v>45587.775694444441</v>
      </c>
      <c r="B28" t="s">
        <v>8</v>
      </c>
      <c r="C28">
        <v>1</v>
      </c>
      <c r="D28" s="10">
        <v>6.6000000000000003E-2</v>
      </c>
      <c r="E28" s="22">
        <f>Table25[[#This Row],[Pioreactor OD]]*$L$5+$M$5</f>
        <v>0.22057356469338898</v>
      </c>
      <c r="F28" t="str">
        <f t="shared" si="0"/>
        <v>NO</v>
      </c>
    </row>
    <row r="29" spans="1:12">
      <c r="A29" s="14">
        <v>45587.775694444441</v>
      </c>
      <c r="B29" t="s">
        <v>9</v>
      </c>
      <c r="C29">
        <v>1</v>
      </c>
      <c r="D29" s="10">
        <v>8.9999999999999993E-3</v>
      </c>
      <c r="E29" s="22">
        <f>Table25[[#This Row],[Pioreactor OD]]*$L$6+$M$6</f>
        <v>9.0875062540843321E-2</v>
      </c>
      <c r="F29" t="str">
        <f t="shared" si="0"/>
        <v>NO</v>
      </c>
    </row>
    <row r="30" spans="1:12">
      <c r="A30" s="14">
        <v>45588.428472222222</v>
      </c>
      <c r="B30" t="s">
        <v>5</v>
      </c>
      <c r="C30">
        <v>2</v>
      </c>
      <c r="D30">
        <v>1.4E-2</v>
      </c>
      <c r="E30" s="22">
        <f>Table25[[#This Row],[Pioreactor OD]]*$L$3+$M$3</f>
        <v>0.10060352826002654</v>
      </c>
      <c r="F30" t="str">
        <f>IF(E30&gt;$I$2, "YES", "NO")</f>
        <v>NO</v>
      </c>
    </row>
    <row r="31" spans="1:12">
      <c r="A31" s="14">
        <v>45588.428472222222</v>
      </c>
      <c r="B31" t="s">
        <v>7</v>
      </c>
      <c r="C31">
        <v>1</v>
      </c>
      <c r="D31">
        <v>0.14000000000000001</v>
      </c>
      <c r="E31" s="22">
        <f>Table25[[#This Row],[Pioreactor OD]]*$L$4+$M$4</f>
        <v>0.36825695776274192</v>
      </c>
      <c r="F31" t="str">
        <f>IF(E31&gt;$I$2, "YES", "NO")</f>
        <v>YES</v>
      </c>
    </row>
    <row r="32" spans="1:12">
      <c r="A32" s="14">
        <v>45588.428472222222</v>
      </c>
      <c r="B32" t="s">
        <v>8</v>
      </c>
      <c r="C32">
        <v>1</v>
      </c>
      <c r="D32">
        <v>0.10299999999999999</v>
      </c>
      <c r="E32" s="22">
        <f>Table25[[#This Row],[Pioreactor OD]]*$L$5+$M$5</f>
        <v>0.30327739152416006</v>
      </c>
      <c r="F32" t="str">
        <f t="shared" si="0"/>
        <v>YES</v>
      </c>
    </row>
    <row r="33" spans="1:10">
      <c r="A33" s="14">
        <v>45588.428472222222</v>
      </c>
      <c r="B33" t="s">
        <v>9</v>
      </c>
      <c r="C33">
        <v>1</v>
      </c>
      <c r="D33">
        <v>2.1000000000000001E-2</v>
      </c>
      <c r="E33" s="22">
        <f>Table25[[#This Row],[Pioreactor OD]]*$L$6+$M$6</f>
        <v>0.10473926113100651</v>
      </c>
      <c r="F33" t="str">
        <f t="shared" si="0"/>
        <v>NO</v>
      </c>
    </row>
    <row r="34" spans="1:10">
      <c r="A34" s="14">
        <v>45588.598611111112</v>
      </c>
      <c r="B34" t="s">
        <v>5</v>
      </c>
      <c r="C34">
        <v>2</v>
      </c>
      <c r="D34">
        <v>2.3E-2</v>
      </c>
      <c r="E34" s="22">
        <f>Table25[[#This Row],[Pioreactor OD]]*$L$3+$M$3</f>
        <v>0.11252868777348671</v>
      </c>
      <c r="F34" t="str">
        <f t="shared" ref="F34:F63" si="1">IF(E34&gt;$I$2, "YES", "NO")</f>
        <v>NO</v>
      </c>
      <c r="H34" t="s">
        <v>18</v>
      </c>
      <c r="I34" s="15">
        <v>0.4375</v>
      </c>
    </row>
    <row r="35" spans="1:10">
      <c r="A35" s="14">
        <v>45588.598611111112</v>
      </c>
      <c r="B35" t="s">
        <v>7</v>
      </c>
      <c r="C35">
        <v>2</v>
      </c>
      <c r="D35">
        <v>2E-3</v>
      </c>
      <c r="E35" s="22">
        <f>Table25[[#This Row],[Pioreactor OD]]*$L$4+$M$4</f>
        <v>6.6767320816673054E-2</v>
      </c>
      <c r="F35" t="str">
        <f t="shared" si="1"/>
        <v>NO</v>
      </c>
      <c r="H35" t="s">
        <v>19</v>
      </c>
      <c r="I35" s="15">
        <v>0.4375</v>
      </c>
    </row>
    <row r="36" spans="1:10">
      <c r="A36" s="14">
        <v>45588.598611111112</v>
      </c>
      <c r="B36" t="s">
        <v>8</v>
      </c>
      <c r="C36">
        <v>2</v>
      </c>
      <c r="D36">
        <v>3.0000000000000001E-3</v>
      </c>
      <c r="E36" s="22">
        <f>Table25[[#This Row],[Pioreactor OD]]*$L$5+$M$5</f>
        <v>7.9753535224778752E-2</v>
      </c>
      <c r="F36" t="str">
        <f t="shared" si="1"/>
        <v>NO</v>
      </c>
    </row>
    <row r="37" spans="1:10">
      <c r="A37" s="14">
        <v>45588.598611111112</v>
      </c>
      <c r="B37" t="s">
        <v>9</v>
      </c>
      <c r="C37">
        <v>1</v>
      </c>
      <c r="D37">
        <v>2.9000000000000001E-2</v>
      </c>
      <c r="E37" s="22">
        <f>Table25[[#This Row],[Pioreactor OD]]*$L$6+$M$6</f>
        <v>0.11398206019111531</v>
      </c>
      <c r="F37" t="str">
        <f t="shared" si="1"/>
        <v>NO</v>
      </c>
    </row>
    <row r="38" spans="1:10">
      <c r="A38" s="14">
        <v>45589.446527777778</v>
      </c>
      <c r="B38" t="s">
        <v>5</v>
      </c>
      <c r="C38">
        <v>2</v>
      </c>
      <c r="D38">
        <v>0.26800000000000002</v>
      </c>
      <c r="E38" s="22">
        <f>Table25[[#This Row],[Pioreactor OD]]*$L$3+$M$3</f>
        <v>0.43715803008434684</v>
      </c>
      <c r="F38" t="str">
        <f t="shared" si="1"/>
        <v>YES</v>
      </c>
      <c r="H38" t="s">
        <v>17</v>
      </c>
      <c r="I38" s="15">
        <v>0.44791666666666669</v>
      </c>
    </row>
    <row r="39" spans="1:10">
      <c r="A39" s="14">
        <v>45589.446527777778</v>
      </c>
      <c r="B39" t="s">
        <v>7</v>
      </c>
      <c r="C39">
        <v>2</v>
      </c>
      <c r="D39">
        <v>4.0000000000000001E-3</v>
      </c>
      <c r="E39" s="22">
        <f>Table25[[#This Row],[Pioreactor OD]]*$L$4+$M$4</f>
        <v>7.1136735844876953E-2</v>
      </c>
      <c r="F39" t="str">
        <f t="shared" si="1"/>
        <v>NO</v>
      </c>
    </row>
    <row r="40" spans="1:10">
      <c r="A40" s="14">
        <v>45589.446527777778</v>
      </c>
      <c r="B40" t="s">
        <v>8</v>
      </c>
      <c r="C40">
        <v>2</v>
      </c>
      <c r="D40">
        <v>3.0000000000000001E-3</v>
      </c>
      <c r="E40" s="22">
        <f>Table25[[#This Row],[Pioreactor OD]]*$L$5+$M$5</f>
        <v>7.9753535224778752E-2</v>
      </c>
      <c r="F40" t="str">
        <f t="shared" si="1"/>
        <v>NO</v>
      </c>
    </row>
    <row r="41" spans="1:10">
      <c r="A41" s="14">
        <v>45589.446527777778</v>
      </c>
      <c r="B41" t="s">
        <v>9</v>
      </c>
      <c r="C41">
        <v>1</v>
      </c>
      <c r="D41">
        <v>0.09</v>
      </c>
      <c r="E41" s="22">
        <f>Table25[[#This Row],[Pioreactor OD]]*$L$6+$M$6</f>
        <v>0.18445840302444488</v>
      </c>
      <c r="F41" t="str">
        <f t="shared" si="1"/>
        <v>NO</v>
      </c>
    </row>
    <row r="42" spans="1:10">
      <c r="A42" s="14" t="s">
        <v>20</v>
      </c>
      <c r="B42" t="s">
        <v>5</v>
      </c>
      <c r="C42">
        <v>2</v>
      </c>
      <c r="D42">
        <v>0.32700000000000001</v>
      </c>
      <c r="E42" s="22">
        <f>Table25[[#This Row],[Pioreactor OD]]*$L$3+$M$3</f>
        <v>0.51533407578369683</v>
      </c>
      <c r="F42" t="str">
        <f t="shared" si="1"/>
        <v>YES</v>
      </c>
    </row>
    <row r="43" spans="1:10">
      <c r="A43" s="14" t="s">
        <v>20</v>
      </c>
      <c r="B43" t="s">
        <v>7</v>
      </c>
      <c r="C43">
        <v>2</v>
      </c>
      <c r="D43">
        <v>9.4E-2</v>
      </c>
      <c r="E43" s="22">
        <f>Table25[[#This Row],[Pioreactor OD]]*$L$4+$M$4</f>
        <v>0.26776041211405227</v>
      </c>
      <c r="F43" t="str">
        <f t="shared" si="1"/>
        <v>YES</v>
      </c>
      <c r="H43" t="s">
        <v>21</v>
      </c>
      <c r="I43" s="15">
        <v>0.57986111111111116</v>
      </c>
    </row>
    <row r="44" spans="1:10">
      <c r="A44" s="14" t="s">
        <v>20</v>
      </c>
      <c r="B44" t="s">
        <v>8</v>
      </c>
      <c r="C44">
        <v>2</v>
      </c>
      <c r="D44">
        <v>0.08</v>
      </c>
      <c r="E44" s="22">
        <f>Table25[[#This Row],[Pioreactor OD]]*$L$5+$M$5</f>
        <v>0.25186690457530236</v>
      </c>
      <c r="F44" t="str">
        <f t="shared" si="1"/>
        <v>YES</v>
      </c>
      <c r="H44" t="s">
        <v>19</v>
      </c>
      <c r="I44" s="15">
        <v>0.57986111111111116</v>
      </c>
    </row>
    <row r="45" spans="1:10">
      <c r="A45" s="14" t="s">
        <v>20</v>
      </c>
      <c r="B45" t="s">
        <v>9</v>
      </c>
      <c r="C45">
        <v>1</v>
      </c>
      <c r="D45">
        <v>0.312</v>
      </c>
      <c r="E45" s="22">
        <f>Table25[[#This Row],[Pioreactor OD]]*$L$6+$M$6</f>
        <v>0.44094607694246402</v>
      </c>
      <c r="F45" t="str">
        <f t="shared" si="1"/>
        <v>YES</v>
      </c>
    </row>
    <row r="46" spans="1:10" s="32" customFormat="1">
      <c r="A46" s="31">
        <v>45596.459722222222</v>
      </c>
      <c r="B46" s="32" t="s">
        <v>5</v>
      </c>
      <c r="C46" s="32">
        <v>1</v>
      </c>
      <c r="D46" s="33">
        <v>0.02</v>
      </c>
      <c r="E46" s="34">
        <f>Table25[[#This Row],[Pioreactor OD]]*$L$3+$M$3</f>
        <v>0.10855363460233332</v>
      </c>
      <c r="F46" s="32" t="str">
        <f t="shared" si="1"/>
        <v>NO</v>
      </c>
      <c r="H46" s="32" t="s">
        <v>22</v>
      </c>
      <c r="I46" s="35" t="s">
        <v>23</v>
      </c>
    </row>
    <row r="47" spans="1:10">
      <c r="A47" s="14">
        <v>45596.459722222222</v>
      </c>
      <c r="B47" t="s">
        <v>7</v>
      </c>
      <c r="C47">
        <v>1</v>
      </c>
      <c r="D47" s="10">
        <v>1.2999999999999999E-2</v>
      </c>
      <c r="E47" s="22">
        <f>Table25[[#This Row],[Pioreactor OD]]*$L$4+$M$4</f>
        <v>9.0799103471794484E-2</v>
      </c>
      <c r="F47" t="str">
        <f t="shared" si="1"/>
        <v>NO</v>
      </c>
    </row>
    <row r="48" spans="1:10">
      <c r="A48" s="14">
        <v>45596.459722222222</v>
      </c>
      <c r="B48" t="s">
        <v>8</v>
      </c>
      <c r="C48">
        <v>1</v>
      </c>
      <c r="D48" s="10">
        <v>1.0999999999999999E-2</v>
      </c>
      <c r="E48" s="22">
        <f>Table25[[#This Row],[Pioreactor OD]]*$L$5+$M$5</f>
        <v>9.763544372872926E-2</v>
      </c>
      <c r="F48" t="str">
        <f t="shared" si="1"/>
        <v>NO</v>
      </c>
      <c r="J48">
        <f>0.011*L5+M5</f>
        <v>9.763544372872926E-2</v>
      </c>
    </row>
    <row r="49" spans="1:10">
      <c r="A49" s="14">
        <v>45596.459722222222</v>
      </c>
      <c r="B49" t="s">
        <v>9</v>
      </c>
      <c r="C49">
        <v>1</v>
      </c>
      <c r="D49" s="10">
        <v>4.0000000000000001E-3</v>
      </c>
      <c r="E49" s="22">
        <f>Table25[[#This Row],[Pioreactor OD]]*$L$6+$M$6</f>
        <v>8.509831312827533E-2</v>
      </c>
      <c r="F49" t="str">
        <f t="shared" si="1"/>
        <v>NO</v>
      </c>
      <c r="J49">
        <f>0.004*L6+M6</f>
        <v>8.509831312827533E-2</v>
      </c>
    </row>
    <row r="50" spans="1:10">
      <c r="C50"/>
      <c r="D50" s="10"/>
      <c r="E50" s="10"/>
      <c r="F50" t="str">
        <f t="shared" si="1"/>
        <v>NO</v>
      </c>
    </row>
    <row r="51" spans="1:10">
      <c r="C51"/>
      <c r="D51" s="10"/>
      <c r="E51" s="10"/>
      <c r="F51" t="str">
        <f t="shared" si="1"/>
        <v>NO</v>
      </c>
    </row>
    <row r="52" spans="1:10">
      <c r="C52"/>
      <c r="D52" s="10"/>
      <c r="E52" s="10"/>
      <c r="F52" t="str">
        <f t="shared" si="1"/>
        <v>NO</v>
      </c>
    </row>
    <row r="53" spans="1:10">
      <c r="C53"/>
      <c r="D53" s="10"/>
      <c r="E53" s="10"/>
      <c r="F53" t="str">
        <f t="shared" si="1"/>
        <v>NO</v>
      </c>
    </row>
    <row r="54" spans="1:10">
      <c r="C54"/>
      <c r="D54" s="10"/>
      <c r="E54" s="10"/>
      <c r="F54" t="str">
        <f t="shared" si="1"/>
        <v>NO</v>
      </c>
    </row>
    <row r="55" spans="1:10">
      <c r="C55"/>
      <c r="D55" s="10"/>
      <c r="E55" s="10"/>
      <c r="F55" t="str">
        <f t="shared" si="1"/>
        <v>NO</v>
      </c>
    </row>
    <row r="56" spans="1:10">
      <c r="C56"/>
      <c r="D56" s="10"/>
      <c r="E56" s="10"/>
      <c r="F56" t="str">
        <f t="shared" si="1"/>
        <v>NO</v>
      </c>
    </row>
    <row r="57" spans="1:10">
      <c r="C57"/>
      <c r="D57" s="10"/>
      <c r="E57" s="10"/>
      <c r="F57" t="str">
        <f t="shared" si="1"/>
        <v>NO</v>
      </c>
    </row>
    <row r="58" spans="1:10">
      <c r="C58"/>
      <c r="D58" s="10"/>
      <c r="E58" s="10"/>
      <c r="F58" t="str">
        <f t="shared" si="1"/>
        <v>NO</v>
      </c>
    </row>
    <row r="59" spans="1:10">
      <c r="C59"/>
      <c r="D59" s="10"/>
      <c r="E59" s="10"/>
      <c r="F59" t="str">
        <f t="shared" si="1"/>
        <v>NO</v>
      </c>
    </row>
    <row r="60" spans="1:10">
      <c r="C60"/>
      <c r="D60" s="10"/>
      <c r="E60" s="10"/>
      <c r="F60" t="str">
        <f t="shared" si="1"/>
        <v>NO</v>
      </c>
    </row>
    <row r="61" spans="1:10">
      <c r="C61"/>
      <c r="D61" s="10"/>
      <c r="E61" s="10"/>
      <c r="F61" t="str">
        <f t="shared" si="1"/>
        <v>NO</v>
      </c>
    </row>
    <row r="62" spans="1:10">
      <c r="C62"/>
      <c r="D62" s="10"/>
      <c r="E62" s="10"/>
      <c r="F62" t="str">
        <f t="shared" si="1"/>
        <v>NO</v>
      </c>
    </row>
    <row r="63" spans="1:10">
      <c r="C63"/>
      <c r="D63" s="10"/>
      <c r="E63" s="10"/>
      <c r="F63" t="str">
        <f t="shared" si="1"/>
        <v>NO</v>
      </c>
    </row>
    <row r="64" spans="1:10">
      <c r="C64"/>
      <c r="D64" s="10"/>
      <c r="E64" s="10"/>
      <c r="F64" t="str">
        <f t="shared" ref="F64" si="2">IF(E64&gt;$I$2, "YES", "NO")</f>
        <v>NO</v>
      </c>
    </row>
    <row r="65" spans="3:6">
      <c r="C65"/>
      <c r="D65" s="10"/>
      <c r="E65" s="10"/>
      <c r="F65" t="str">
        <f t="shared" ref="F65:F78" si="3">IF(E65&gt;$I$2, "YES", "NO")</f>
        <v>NO</v>
      </c>
    </row>
    <row r="66" spans="3:6">
      <c r="C66"/>
      <c r="D66" s="10"/>
      <c r="E66" s="10"/>
      <c r="F66" t="str">
        <f t="shared" si="3"/>
        <v>NO</v>
      </c>
    </row>
    <row r="67" spans="3:6">
      <c r="C67"/>
      <c r="D67" s="10"/>
      <c r="E67" s="10"/>
      <c r="F67" t="str">
        <f t="shared" si="3"/>
        <v>NO</v>
      </c>
    </row>
    <row r="68" spans="3:6">
      <c r="C68"/>
      <c r="D68" s="10"/>
      <c r="E68" s="10"/>
      <c r="F68" t="str">
        <f t="shared" si="3"/>
        <v>NO</v>
      </c>
    </row>
    <row r="69" spans="3:6">
      <c r="C69"/>
      <c r="D69" s="10"/>
      <c r="E69" s="10"/>
      <c r="F69" t="str">
        <f t="shared" si="3"/>
        <v>NO</v>
      </c>
    </row>
    <row r="70" spans="3:6">
      <c r="C70"/>
      <c r="D70" s="10"/>
      <c r="E70" s="10"/>
      <c r="F70" t="str">
        <f t="shared" si="3"/>
        <v>NO</v>
      </c>
    </row>
    <row r="71" spans="3:6">
      <c r="C71"/>
      <c r="D71" s="10"/>
      <c r="E71" s="10"/>
      <c r="F71" t="str">
        <f t="shared" si="3"/>
        <v>NO</v>
      </c>
    </row>
    <row r="72" spans="3:6">
      <c r="C72"/>
      <c r="D72" s="10"/>
      <c r="E72" s="10"/>
      <c r="F72" t="str">
        <f t="shared" si="3"/>
        <v>NO</v>
      </c>
    </row>
    <row r="73" spans="3:6">
      <c r="C73"/>
      <c r="D73" s="10"/>
      <c r="E73" s="10"/>
      <c r="F73" t="str">
        <f t="shared" si="3"/>
        <v>NO</v>
      </c>
    </row>
    <row r="74" spans="3:6">
      <c r="C74"/>
      <c r="D74" s="10"/>
      <c r="E74" s="10"/>
      <c r="F74" t="str">
        <f t="shared" si="3"/>
        <v>NO</v>
      </c>
    </row>
    <row r="75" spans="3:6">
      <c r="C75"/>
      <c r="D75" s="10"/>
      <c r="E75" s="10"/>
      <c r="F75" t="str">
        <f t="shared" si="3"/>
        <v>NO</v>
      </c>
    </row>
    <row r="76" spans="3:6">
      <c r="C76"/>
      <c r="D76" s="10"/>
      <c r="E76" s="10"/>
      <c r="F76" t="str">
        <f t="shared" si="3"/>
        <v>NO</v>
      </c>
    </row>
    <row r="77" spans="3:6">
      <c r="C77"/>
      <c r="D77" s="10"/>
      <c r="E77" s="10"/>
      <c r="F77" t="str">
        <f t="shared" si="3"/>
        <v>NO</v>
      </c>
    </row>
    <row r="78" spans="3:6">
      <c r="C78"/>
      <c r="D78" s="10"/>
      <c r="E78" s="10"/>
      <c r="F78" t="str">
        <f t="shared" si="3"/>
        <v>NO</v>
      </c>
    </row>
  </sheetData>
  <phoneticPr fontId="1" type="noConversion"/>
  <conditionalFormatting sqref="A2:D37 B2:B45 F2:F49 A38:A49 A50:F78">
    <cfRule type="containsText" dxfId="34" priority="5" stopIfTrue="1" operator="containsText" text="YES">
      <formula>NOT(ISERROR(SEARCH("YES",A2)))</formula>
    </cfRule>
  </conditionalFormatting>
  <conditionalFormatting sqref="C38:C49">
    <cfRule type="containsText" dxfId="33" priority="2" stopIfTrue="1" operator="containsText" text="YES">
      <formula>NOT(ISERROR(SEARCH("YES",C38)))</formula>
    </cfRule>
  </conditionalFormatting>
  <conditionalFormatting sqref="D46:D49">
    <cfRule type="containsText" dxfId="32" priority="1" stopIfTrue="1" operator="containsText" text="YES">
      <formula>NOT(ISERROR(SEARCH("YES",D46)))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F6D4-4CE2-E542-B6F6-C1FE7C550684}">
  <dimension ref="A1:AF21"/>
  <sheetViews>
    <sheetView topLeftCell="M14" zoomScale="200" zoomScaleNormal="94" workbookViewId="0">
      <selection activeCell="G52" sqref="G52"/>
    </sheetView>
  </sheetViews>
  <sheetFormatPr defaultColWidth="16.375" defaultRowHeight="15.95"/>
  <cols>
    <col min="3" max="3" width="30.5" bestFit="1" customWidth="1"/>
    <col min="16" max="16" width="15.375" bestFit="1" customWidth="1"/>
    <col min="17" max="17" width="15.375" customWidth="1"/>
  </cols>
  <sheetData>
    <row r="1" spans="1:32">
      <c r="A1" t="s">
        <v>24</v>
      </c>
      <c r="B1" t="s">
        <v>25</v>
      </c>
      <c r="C1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7" t="s">
        <v>41</v>
      </c>
      <c r="S1" s="7" t="s">
        <v>42</v>
      </c>
      <c r="T1" s="7" t="s">
        <v>43</v>
      </c>
      <c r="U1" s="7" t="s">
        <v>44</v>
      </c>
      <c r="V1" s="7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</row>
    <row r="2" spans="1:32">
      <c r="A2">
        <v>0</v>
      </c>
      <c r="B2">
        <v>15</v>
      </c>
      <c r="C2">
        <v>7</v>
      </c>
      <c r="D2" s="3">
        <v>7.4999999999999997E-2</v>
      </c>
      <c r="E2" s="3">
        <v>7.3999999999999996E-2</v>
      </c>
      <c r="F2" s="3">
        <v>8.1000000000000003E-2</v>
      </c>
      <c r="G2" s="3">
        <f>AVERAGE(D2:F2,I2:K2)</f>
        <v>7.6499999999999999E-2</v>
      </c>
      <c r="H2" s="3">
        <f t="shared" ref="H2:H9" si="0">STDEV(D2:F2,I2:K2)</f>
        <v>2.5099800796022287E-3</v>
      </c>
      <c r="I2" s="5">
        <v>7.6999999999999999E-2</v>
      </c>
      <c r="J2" s="5">
        <v>7.6999999999999999E-2</v>
      </c>
      <c r="K2" s="5">
        <v>7.4999999999999997E-2</v>
      </c>
      <c r="L2" s="5">
        <f>AVERAGE(Table1[[#This Row],[od600_2-1]:[od600_2-3]])</f>
        <v>7.6333333333333322E-2</v>
      </c>
      <c r="M2" s="6">
        <v>1.3497191894919101E-3</v>
      </c>
      <c r="N2" s="6">
        <v>1.82647577841188E-3</v>
      </c>
      <c r="O2" s="6">
        <v>1.8670587497017E-3</v>
      </c>
      <c r="P2" s="6">
        <f>AVERAGE(Table1[[#This Row],[worker2-1]:[worker2-3]])</f>
        <v>1.6810845725351634E-3</v>
      </c>
      <c r="Q2" s="6">
        <f>STDEV(Table1[[#This Row],[worker2-1]:[worker2-3]])</f>
        <v>2.8768734278592981E-4</v>
      </c>
      <c r="R2" s="7">
        <v>2.61579738033415E-3</v>
      </c>
      <c r="S2" s="7">
        <v>1.3309238091192201E-4</v>
      </c>
      <c r="T2" s="7">
        <v>1.0307037008995901E-4</v>
      </c>
      <c r="U2" s="7">
        <f>AVERAGE(Table1[[#This Row],[worker3-1]:[worker3-3]])</f>
        <v>9.5065337711201022E-4</v>
      </c>
      <c r="V2" s="7">
        <f>STDEV(Table1[[#This Row],[worker3-1]:[worker3-3]])</f>
        <v>1.4421351337109288E-3</v>
      </c>
      <c r="W2" s="1">
        <v>1.34039520168072E-3</v>
      </c>
      <c r="X2" s="1">
        <v>1.1246564356311699E-3</v>
      </c>
      <c r="Y2" s="1">
        <v>1.9851557429600999E-3</v>
      </c>
      <c r="Z2" s="1">
        <f>AVERAGE(Table1[[#This Row],[worker4-1]:[worker4-3]])</f>
        <v>1.4834024600906635E-3</v>
      </c>
      <c r="AA2" s="1">
        <f>STDEV(Table1[[#This Row],[worker4-1]:[worker4-3]])</f>
        <v>4.4771985822257012E-4</v>
      </c>
      <c r="AB2" s="8">
        <v>2.12674011779574E-3</v>
      </c>
      <c r="AC2" s="8">
        <v>2.1067352623678399E-3</v>
      </c>
      <c r="AD2" s="8">
        <v>1.73803360555457E-3</v>
      </c>
      <c r="AE2" s="8">
        <f>AVERAGE(Table1[[#This Row],[worker5-1]:[worker5-3]])</f>
        <v>1.9905029952393834E-3</v>
      </c>
      <c r="AF2" s="8">
        <f>STDEV(Table1[[#This Row],[worker5-1]:[worker5-3]])</f>
        <v>2.1887357790752036E-4</v>
      </c>
    </row>
    <row r="3" spans="1:32">
      <c r="A3">
        <v>0.5</v>
      </c>
      <c r="B3">
        <v>14.5</v>
      </c>
      <c r="C3">
        <v>5</v>
      </c>
      <c r="D3" s="3">
        <v>7.9000000000000001E-2</v>
      </c>
      <c r="E3" s="3">
        <v>7.9000000000000001E-2</v>
      </c>
      <c r="F3" s="3">
        <v>0.08</v>
      </c>
      <c r="G3" s="3">
        <f>AVERAGE(D3:F3,I3:K3)</f>
        <v>8.083333333333334E-2</v>
      </c>
      <c r="H3" s="3">
        <f t="shared" si="0"/>
        <v>1.7224014243685101E-3</v>
      </c>
      <c r="I3" s="5">
        <v>8.3000000000000004E-2</v>
      </c>
      <c r="J3" s="5">
        <v>8.2000000000000003E-2</v>
      </c>
      <c r="K3" s="5">
        <v>8.2000000000000003E-2</v>
      </c>
      <c r="L3" s="5">
        <f>AVERAGE(Table1[[#This Row],[od600_2-1]:[od600_2-3]])</f>
        <v>8.2333333333333328E-2</v>
      </c>
      <c r="M3" s="6">
        <v>7.7936509442524402E-3</v>
      </c>
      <c r="N3" s="6">
        <v>7.4189817435989002E-3</v>
      </c>
      <c r="O3" s="6">
        <v>6.8086275842821498E-3</v>
      </c>
      <c r="P3" s="6">
        <f>AVERAGE(Table1[[#This Row],[worker2-1]:[worker2-3]])</f>
        <v>7.3404200907111637E-3</v>
      </c>
      <c r="Q3" s="6">
        <f>STDEV(Table1[[#This Row],[worker2-1]:[worker2-3]])</f>
        <v>4.9718880206630765E-4</v>
      </c>
      <c r="R3" s="7">
        <v>3.8637799643650899E-3</v>
      </c>
      <c r="S3" s="7">
        <v>3.8245346339039902E-3</v>
      </c>
      <c r="T3" s="7">
        <v>4.0090944109320396E-3</v>
      </c>
      <c r="U3" s="7">
        <f>AVERAGE(Table1[[#This Row],[worker3-1]:[worker3-3]])</f>
        <v>3.8991363364003734E-3</v>
      </c>
      <c r="V3" s="7">
        <f>STDEV(Table1[[#This Row],[worker3-1]:[worker3-3]])</f>
        <v>9.7227221531749335E-5</v>
      </c>
      <c r="W3" s="1">
        <v>3.6641345759604702E-3</v>
      </c>
      <c r="X3" s="1">
        <v>3.5807310408585802E-3</v>
      </c>
      <c r="Y3" s="1">
        <v>3.9973864290916003E-3</v>
      </c>
      <c r="Z3" s="1">
        <f>AVERAGE(Table1[[#This Row],[worker4-1]:[worker4-3]])</f>
        <v>3.747417348636884E-3</v>
      </c>
      <c r="AA3" s="1">
        <f>STDEV(Table1[[#This Row],[worker4-1]:[worker4-3]])</f>
        <v>2.2045961830776523E-4</v>
      </c>
      <c r="AB3" s="8">
        <v>6.8784980777221996E-3</v>
      </c>
      <c r="AC3" s="8">
        <v>6.2838307730526703E-3</v>
      </c>
      <c r="AD3" s="8">
        <v>5.8630650589618603E-3</v>
      </c>
      <c r="AE3" s="8">
        <f>AVERAGE(Table1[[#This Row],[worker5-1]:[worker5-3]])</f>
        <v>6.341797969912244E-3</v>
      </c>
      <c r="AF3" s="8">
        <f>STDEV(Table1[[#This Row],[worker5-1]:[worker5-3]])</f>
        <v>5.1019231749508071E-4</v>
      </c>
    </row>
    <row r="4" spans="1:32">
      <c r="A4">
        <v>1</v>
      </c>
      <c r="B4">
        <v>14</v>
      </c>
      <c r="C4">
        <v>4</v>
      </c>
      <c r="D4" s="3">
        <v>8.8999999999999996E-2</v>
      </c>
      <c r="E4" s="3">
        <v>8.8999999999999996E-2</v>
      </c>
      <c r="F4" s="3">
        <v>0.09</v>
      </c>
      <c r="G4" s="3">
        <f t="shared" ref="G4:G9" si="1">AVERAGE(D4:F4,I4:K4)</f>
        <v>9.2666666666666661E-2</v>
      </c>
      <c r="H4" s="3">
        <f t="shared" si="0"/>
        <v>3.7237973450050545E-3</v>
      </c>
      <c r="I4" s="5">
        <v>9.6000000000000002E-2</v>
      </c>
      <c r="J4" s="5">
        <v>9.7000000000000003E-2</v>
      </c>
      <c r="K4" s="5">
        <v>9.5000000000000001E-2</v>
      </c>
      <c r="L4" s="5">
        <f>AVERAGE(Table1[[#This Row],[od600_2-1]:[od600_2-3]])</f>
        <v>9.6000000000000016E-2</v>
      </c>
      <c r="M4" s="6">
        <v>1.27334182217742E-2</v>
      </c>
      <c r="N4" s="6">
        <v>1.2961071261595901E-2</v>
      </c>
      <c r="O4" s="6">
        <v>1.27403074659698E-2</v>
      </c>
      <c r="P4" s="6">
        <f>AVERAGE(Table1[[#This Row],[worker2-1]:[worker2-3]])</f>
        <v>1.2811598983113301E-2</v>
      </c>
      <c r="Q4" s="6">
        <f>STDEV(Table1[[#This Row],[worker2-1]:[worker2-3]])</f>
        <v>1.294926134861819E-4</v>
      </c>
      <c r="R4" s="7">
        <v>1.11342260624843E-2</v>
      </c>
      <c r="S4" s="7">
        <v>9.2124457304390804E-3</v>
      </c>
      <c r="T4" s="7">
        <v>8.1832693763161293E-3</v>
      </c>
      <c r="U4" s="7">
        <f>AVERAGE(Table1[[#This Row],[worker3-1]:[worker3-3]])</f>
        <v>9.5099803897465019E-3</v>
      </c>
      <c r="V4" s="7">
        <f>STDEV(Table1[[#This Row],[worker3-1]:[worker3-3]])</f>
        <v>1.4978088983668928E-3</v>
      </c>
      <c r="W4" s="1">
        <v>7.6389034708296104E-3</v>
      </c>
      <c r="X4" s="1">
        <v>7.5134414339919397E-3</v>
      </c>
      <c r="Y4" s="1">
        <v>7.9545845305964893E-3</v>
      </c>
      <c r="Z4" s="1">
        <f>AVERAGE(Table1[[#This Row],[worker4-1]:[worker4-3]])</f>
        <v>7.7023098118060131E-3</v>
      </c>
      <c r="AA4" s="1">
        <f>STDEV(Table1[[#This Row],[worker4-1]:[worker4-3]])</f>
        <v>2.2730393964354124E-4</v>
      </c>
      <c r="AB4" s="8">
        <v>1.17603817075074E-2</v>
      </c>
      <c r="AC4" s="8">
        <v>1.1926866412388E-2</v>
      </c>
      <c r="AD4" s="8">
        <v>1.20016404052787E-2</v>
      </c>
      <c r="AE4" s="8">
        <f>AVERAGE(Table1[[#This Row],[worker5-1]:[worker5-3]])</f>
        <v>1.1896296175058033E-2</v>
      </c>
      <c r="AF4" s="8">
        <f>STDEV(Table1[[#This Row],[worker5-1]:[worker5-3]])</f>
        <v>1.2350038206573999E-4</v>
      </c>
    </row>
    <row r="5" spans="1:32">
      <c r="A5">
        <v>2</v>
      </c>
      <c r="B5">
        <v>13</v>
      </c>
      <c r="C5">
        <v>6</v>
      </c>
      <c r="D5" s="3">
        <v>0.10299999999999999</v>
      </c>
      <c r="E5" s="3">
        <v>0.10100000000000001</v>
      </c>
      <c r="F5" s="3">
        <v>0.1</v>
      </c>
      <c r="G5" s="3">
        <f t="shared" si="1"/>
        <v>0.10266666666666667</v>
      </c>
      <c r="H5" s="3">
        <f t="shared" si="0"/>
        <v>1.8618986725025208E-3</v>
      </c>
      <c r="I5" s="5">
        <v>0.105</v>
      </c>
      <c r="J5" s="5">
        <v>0.104</v>
      </c>
      <c r="K5" s="5">
        <v>0.10299999999999999</v>
      </c>
      <c r="L5" s="5">
        <f>AVERAGE(Table1[[#This Row],[od600_2-1]:[od600_2-3]])</f>
        <v>0.104</v>
      </c>
      <c r="M5" s="6">
        <v>2.23405182764582E-2</v>
      </c>
      <c r="N5" s="6">
        <v>2.2277996309000798E-2</v>
      </c>
      <c r="O5" s="6">
        <v>2.2261795974203202E-2</v>
      </c>
      <c r="P5" s="6">
        <f>AVERAGE(Table1[[#This Row],[worker2-1]:[worker2-3]])</f>
        <v>2.2293436853220733E-2</v>
      </c>
      <c r="Q5" s="6">
        <f>STDEV(Table1[[#This Row],[worker2-1]:[worker2-3]])</f>
        <v>4.1570518669336643E-5</v>
      </c>
      <c r="R5" s="7">
        <v>1.8810044980857001E-2</v>
      </c>
      <c r="S5" s="7">
        <v>1.8527622294791799E-2</v>
      </c>
      <c r="T5" s="7">
        <v>2.0047494152749801E-2</v>
      </c>
      <c r="U5" s="7">
        <f>AVERAGE(Table1[[#This Row],[worker3-1]:[worker3-3]])</f>
        <v>1.9128387142799533E-2</v>
      </c>
      <c r="V5" s="7">
        <f>STDEV(Table1[[#This Row],[worker3-1]:[worker3-3]])</f>
        <v>8.0839898268482608E-4</v>
      </c>
      <c r="W5" s="1">
        <v>1.36607758154885E-2</v>
      </c>
      <c r="X5" s="1">
        <v>1.35142007143523E-2</v>
      </c>
      <c r="Y5" s="1">
        <v>1.30609192093111E-2</v>
      </c>
      <c r="Z5" s="1">
        <f>AVERAGE(Table1[[#This Row],[worker4-1]:[worker4-3]])</f>
        <v>1.3411965246383967E-2</v>
      </c>
      <c r="AA5" s="1">
        <f>STDEV(Table1[[#This Row],[worker4-1]:[worker4-3]])</f>
        <v>3.1272360828165014E-4</v>
      </c>
      <c r="AB5" s="8">
        <v>2.4416040391653401E-2</v>
      </c>
      <c r="AC5" s="8">
        <v>2.3420473437885499E-2</v>
      </c>
      <c r="AD5" s="8">
        <v>2.3965718948189801E-2</v>
      </c>
      <c r="AE5" s="8">
        <f>AVERAGE(Table1[[#This Row],[worker5-1]:[worker5-3]])</f>
        <v>2.3934077592576236E-2</v>
      </c>
      <c r="AF5" s="8">
        <f>STDEV(Table1[[#This Row],[worker5-1]:[worker5-3]])</f>
        <v>4.9853713141296988E-4</v>
      </c>
    </row>
    <row r="6" spans="1:32">
      <c r="A6">
        <v>4</v>
      </c>
      <c r="B6">
        <v>11</v>
      </c>
      <c r="C6">
        <v>9</v>
      </c>
      <c r="D6" s="3">
        <v>0.14699999999999999</v>
      </c>
      <c r="E6" s="3">
        <v>0.15</v>
      </c>
      <c r="F6" s="3">
        <v>0.14599999999999999</v>
      </c>
      <c r="G6" s="3">
        <f t="shared" si="1"/>
        <v>0.14433333333333334</v>
      </c>
      <c r="H6" s="3">
        <f t="shared" si="0"/>
        <v>5.0859282994028306E-3</v>
      </c>
      <c r="I6" s="5">
        <v>0.13800000000000001</v>
      </c>
      <c r="J6" s="5">
        <v>0.13800000000000001</v>
      </c>
      <c r="K6" s="5">
        <v>0.14699999999999999</v>
      </c>
      <c r="L6" s="5">
        <f>AVERAGE(Table1[[#This Row],[od600_2-1]:[od600_2-3]])</f>
        <v>0.14100000000000001</v>
      </c>
      <c r="M6" s="6">
        <v>3.9462169080737797E-2</v>
      </c>
      <c r="N6" s="6">
        <v>3.9481508099249801E-2</v>
      </c>
      <c r="O6" s="6">
        <v>3.9737786794179199E-2</v>
      </c>
      <c r="P6" s="6">
        <f>AVERAGE(Table1[[#This Row],[worker2-1]:[worker2-3]])</f>
        <v>3.9560487991388928E-2</v>
      </c>
      <c r="Q6" s="6">
        <f>STDEV(Table1[[#This Row],[worker2-1]:[worker2-3]])</f>
        <v>1.5384943455339141E-4</v>
      </c>
      <c r="R6" s="7">
        <v>3.7895229611984702E-2</v>
      </c>
      <c r="S6" s="7">
        <v>3.8368110138336797E-2</v>
      </c>
      <c r="T6" s="7">
        <v>3.6947446561820002E-2</v>
      </c>
      <c r="U6" s="7">
        <f>AVERAGE(Table1[[#This Row],[worker3-1]:[worker3-3]])</f>
        <v>3.7736928770713836E-2</v>
      </c>
      <c r="V6" s="7">
        <f>STDEV(Table1[[#This Row],[worker3-1]:[worker3-3]])</f>
        <v>7.2344012652787748E-4</v>
      </c>
      <c r="W6" s="1">
        <v>2.78950851033621E-2</v>
      </c>
      <c r="X6" s="1">
        <v>2.8090471635956099E-2</v>
      </c>
      <c r="Y6" s="1">
        <v>2.7945808830633901E-2</v>
      </c>
      <c r="Z6" s="1">
        <f>AVERAGE(Table1[[#This Row],[worker4-1]:[worker4-3]])</f>
        <v>2.7977121856650699E-2</v>
      </c>
      <c r="AA6" s="1">
        <f>STDEV(Table1[[#This Row],[worker4-1]:[worker4-3]])</f>
        <v>1.0138714651533992E-4</v>
      </c>
      <c r="AB6" s="8">
        <v>4.6336973084200102E-2</v>
      </c>
      <c r="AC6" s="8">
        <v>5.0416228712004997E-2</v>
      </c>
      <c r="AD6" s="8">
        <v>4.7761040001667102E-2</v>
      </c>
      <c r="AE6" s="8">
        <f>AVERAGE(Table1[[#This Row],[worker5-1]:[worker5-3]])</f>
        <v>4.8171413932624065E-2</v>
      </c>
      <c r="AF6" s="8">
        <f>STDEV(Table1[[#This Row],[worker5-1]:[worker5-3]])</f>
        <v>2.0703590731202359E-3</v>
      </c>
    </row>
    <row r="7" spans="1:32">
      <c r="A7">
        <v>5</v>
      </c>
      <c r="B7">
        <v>10</v>
      </c>
      <c r="C7">
        <v>3</v>
      </c>
      <c r="D7" s="3">
        <v>0.154</v>
      </c>
      <c r="E7" s="3">
        <v>0.152</v>
      </c>
      <c r="F7" s="3">
        <v>0.152</v>
      </c>
      <c r="G7" s="3">
        <f t="shared" si="1"/>
        <v>0.153</v>
      </c>
      <c r="H7" s="3">
        <f t="shared" si="0"/>
        <v>8.9442719099991667E-4</v>
      </c>
      <c r="I7" s="5">
        <v>0.153</v>
      </c>
      <c r="J7" s="5">
        <v>0.153</v>
      </c>
      <c r="K7" s="5">
        <v>0.154</v>
      </c>
      <c r="L7" s="5">
        <f>AVERAGE(Table1[[#This Row],[od600_2-1]:[od600_2-3]])</f>
        <v>0.15333333333333332</v>
      </c>
      <c r="M7" s="6">
        <v>5.08188120712443E-2</v>
      </c>
      <c r="N7" s="6">
        <v>5.0119769294689601E-2</v>
      </c>
      <c r="O7" s="6">
        <v>5.05449492071691E-2</v>
      </c>
      <c r="P7" s="6">
        <f>AVERAGE(Table1[[#This Row],[worker2-1]:[worker2-3]])</f>
        <v>5.0494510191034327E-2</v>
      </c>
      <c r="Q7" s="6">
        <f>STDEV(Table1[[#This Row],[worker2-1]:[worker2-3]])</f>
        <v>3.5224036058465575E-4</v>
      </c>
      <c r="R7" s="7">
        <v>4.62083558178083E-2</v>
      </c>
      <c r="S7" s="7">
        <v>4.6464248709460802E-2</v>
      </c>
      <c r="T7" s="7">
        <v>4.6443099973930001E-2</v>
      </c>
      <c r="U7" s="7">
        <f>AVERAGE(Table1[[#This Row],[worker3-1]:[worker3-3]])</f>
        <v>4.6371901500399708E-2</v>
      </c>
      <c r="V7" s="7">
        <f>STDEV(Table1[[#This Row],[worker3-1]:[worker3-3]])</f>
        <v>1.4202890541841628E-4</v>
      </c>
      <c r="W7" s="1">
        <v>3.7847518733217698E-2</v>
      </c>
      <c r="X7" s="1">
        <v>3.7729904390786703E-2</v>
      </c>
      <c r="Y7" s="1">
        <v>3.7162966768715701E-2</v>
      </c>
      <c r="Z7" s="1">
        <f>AVERAGE(Table1[[#This Row],[worker4-1]:[worker4-3]])</f>
        <v>3.7580129964240032E-2</v>
      </c>
      <c r="AA7" s="1">
        <f>STDEV(Table1[[#This Row],[worker4-1]:[worker4-3]])</f>
        <v>3.6602886793451648E-4</v>
      </c>
      <c r="AB7" s="8">
        <v>6.0191258704551498E-2</v>
      </c>
      <c r="AC7" s="8">
        <v>6.0285170379594098E-2</v>
      </c>
      <c r="AD7" s="8">
        <v>6.1048888803130898E-2</v>
      </c>
      <c r="AE7" s="8">
        <f>AVERAGE(Table1[[#This Row],[worker5-1]:[worker5-3]])</f>
        <v>6.0508439295758831E-2</v>
      </c>
      <c r="AF7" s="8">
        <f>STDEV(Table1[[#This Row],[worker5-1]:[worker5-3]])</f>
        <v>4.7039249908067059E-4</v>
      </c>
    </row>
    <row r="8" spans="1:32">
      <c r="A8">
        <v>8</v>
      </c>
      <c r="B8">
        <f>3.29+4.9</f>
        <v>8.1900000000000013</v>
      </c>
      <c r="C8">
        <v>8</v>
      </c>
      <c r="D8" s="3">
        <v>0.20300000000000001</v>
      </c>
      <c r="E8" s="3">
        <v>0.20599999999999999</v>
      </c>
      <c r="F8" s="3">
        <v>0.20499999999999999</v>
      </c>
      <c r="G8" s="3">
        <f t="shared" si="1"/>
        <v>0.20533333333333334</v>
      </c>
      <c r="H8" s="3">
        <f t="shared" si="0"/>
        <v>1.3662601021279383E-3</v>
      </c>
      <c r="I8" s="5">
        <v>0.20599999999999999</v>
      </c>
      <c r="J8" s="5">
        <v>0.20699999999999999</v>
      </c>
      <c r="K8" s="5">
        <v>0.20499999999999999</v>
      </c>
      <c r="L8" s="5">
        <f>AVERAGE(Table1[[#This Row],[od600_2-1]:[od600_2-3]])</f>
        <v>0.20599999999999999</v>
      </c>
      <c r="M8" s="6">
        <v>7.21706101099997E-2</v>
      </c>
      <c r="N8" s="6">
        <v>7.2164183729042597E-2</v>
      </c>
      <c r="O8" s="6">
        <v>7.2961098784181097E-2</v>
      </c>
      <c r="P8" s="6">
        <f>AVERAGE(Table1[[#This Row],[worker2-1]:[worker2-3]])</f>
        <v>7.2431964207741131E-2</v>
      </c>
      <c r="Q8" s="6">
        <f>STDEV(Table1[[#This Row],[worker2-1]:[worker2-3]])</f>
        <v>4.5825525046776927E-4</v>
      </c>
      <c r="R8" s="7">
        <v>6.8331643886506796E-2</v>
      </c>
      <c r="S8" s="7">
        <v>6.74969496546763E-2</v>
      </c>
      <c r="T8" s="7">
        <v>6.7926637816890997E-2</v>
      </c>
      <c r="U8" s="7">
        <f>AVERAGE(Table1[[#This Row],[worker3-1]:[worker3-3]])</f>
        <v>6.7918410452691369E-2</v>
      </c>
      <c r="V8" s="7">
        <f>STDEV(Table1[[#This Row],[worker3-1]:[worker3-3]])</f>
        <v>4.1740793272772211E-4</v>
      </c>
      <c r="W8" s="1">
        <v>5.6116024261398702E-2</v>
      </c>
      <c r="X8" s="1">
        <v>5.5663374246329902E-2</v>
      </c>
      <c r="Y8" s="1">
        <v>5.5638212813755798E-2</v>
      </c>
      <c r="Z8" s="1">
        <f>AVERAGE(Table1[[#This Row],[worker4-1]:[worker4-3]])</f>
        <v>5.5805870440494808E-2</v>
      </c>
      <c r="AA8" s="1">
        <f>STDEV(Table1[[#This Row],[worker4-1]:[worker4-3]])</f>
        <v>2.6889555386480841E-4</v>
      </c>
      <c r="AB8" s="8">
        <v>8.8759288527513996E-2</v>
      </c>
      <c r="AC8" s="8">
        <v>8.8636753876978502E-2</v>
      </c>
      <c r="AD8" s="8">
        <v>8.8112308083389698E-2</v>
      </c>
      <c r="AE8" s="8">
        <f>AVERAGE(Table1[[#This Row],[worker5-1]:[worker5-3]])</f>
        <v>8.8502783495960732E-2</v>
      </c>
      <c r="AF8" s="8">
        <f>STDEV(Table1[[#This Row],[worker5-1]:[worker5-3]])</f>
        <v>3.4366694780317965E-4</v>
      </c>
    </row>
    <row r="9" spans="1:32">
      <c r="A9">
        <v>10</v>
      </c>
      <c r="B9">
        <v>5</v>
      </c>
      <c r="C9">
        <v>2</v>
      </c>
      <c r="D9" s="3">
        <v>0.246</v>
      </c>
      <c r="E9" s="3">
        <v>0.24299999999999999</v>
      </c>
      <c r="F9" s="3">
        <v>0.24399999999999999</v>
      </c>
      <c r="G9" s="3">
        <f t="shared" si="1"/>
        <v>0.23933333333333331</v>
      </c>
      <c r="H9" s="3">
        <f t="shared" si="0"/>
        <v>6.4394616752230594E-3</v>
      </c>
      <c r="I9" s="5">
        <v>0.24</v>
      </c>
      <c r="J9" s="5">
        <v>0.23300000000000001</v>
      </c>
      <c r="K9" s="5">
        <v>0.23</v>
      </c>
      <c r="L9" s="5">
        <f>AVERAGE(Table1[[#This Row],[od600_2-1]:[od600_2-3]])</f>
        <v>0.23433333333333331</v>
      </c>
      <c r="M9" s="6">
        <v>0.11005452445846201</v>
      </c>
      <c r="N9" s="6">
        <v>0.108903220659875</v>
      </c>
      <c r="O9" s="6">
        <v>0.108236012809081</v>
      </c>
      <c r="P9" s="6">
        <f>AVERAGE(Table1[[#This Row],[worker2-1]:[worker2-3]])</f>
        <v>0.109064585975806</v>
      </c>
      <c r="Q9" s="6">
        <f>STDEV(Table1[[#This Row],[worker2-1]:[worker2-3]])</f>
        <v>9.1993218696963643E-4</v>
      </c>
      <c r="R9" s="7">
        <v>9.6293844379012894E-2</v>
      </c>
      <c r="S9" s="7">
        <v>9.5979276266187699E-2</v>
      </c>
      <c r="T9" s="7">
        <v>9.6098112766359295E-2</v>
      </c>
      <c r="U9" s="7">
        <f>AVERAGE(Table1[[#This Row],[worker3-1]:[worker3-3]])</f>
        <v>9.6123744470519967E-2</v>
      </c>
      <c r="V9" s="7">
        <f>STDEV(Table1[[#This Row],[worker3-1]:[worker3-3]])</f>
        <v>1.5884272912297911E-4</v>
      </c>
      <c r="W9" s="1">
        <v>7.8672270981789902E-2</v>
      </c>
      <c r="X9" s="1">
        <v>7.9198631479255793E-2</v>
      </c>
      <c r="Y9" s="1">
        <v>7.9751761007936697E-2</v>
      </c>
      <c r="Z9" s="1">
        <f>AVERAGE(Table1[[#This Row],[worker4-1]:[worker4-3]])</f>
        <v>7.9207554489660784E-2</v>
      </c>
      <c r="AA9" s="1">
        <f>STDEV(Table1[[#This Row],[worker4-1]:[worker4-3]])</f>
        <v>5.3980032810625278E-4</v>
      </c>
      <c r="AB9" s="8">
        <v>0.13664299389705101</v>
      </c>
      <c r="AC9" s="8">
        <v>0.13620739950754601</v>
      </c>
      <c r="AD9" s="8">
        <v>0.13590677018373101</v>
      </c>
      <c r="AE9" s="8">
        <f>AVERAGE(Table1[[#This Row],[worker5-1]:[worker5-3]])</f>
        <v>0.13625238786277602</v>
      </c>
      <c r="AF9" s="8">
        <f>STDEV(Table1[[#This Row],[worker5-1]:[worker5-3]])</f>
        <v>3.7016793904037087E-4</v>
      </c>
    </row>
    <row r="10" spans="1:32">
      <c r="C10" t="s">
        <v>56</v>
      </c>
      <c r="D10" s="3">
        <v>0.47699999999999998</v>
      </c>
      <c r="E10" s="3">
        <v>0.47399999999999998</v>
      </c>
      <c r="F10" s="3">
        <v>0.48</v>
      </c>
      <c r="G10" s="3">
        <f t="shared" ref="G10:G13" si="2">AVERAGE(D10:F10,I10:K10)</f>
        <v>0.48500000000000004</v>
      </c>
      <c r="H10" s="3">
        <f t="shared" ref="H10:H13" si="3">STDEV(D10:F10,I10:K10)</f>
        <v>1.1171392035015163E-2</v>
      </c>
      <c r="I10" s="5">
        <v>0.504</v>
      </c>
      <c r="J10" s="5">
        <v>0.49199999999999999</v>
      </c>
      <c r="K10" s="5">
        <v>0.48299999999999998</v>
      </c>
      <c r="L10" s="5">
        <f>AVERAGE(Table1[[#This Row],[od600_2-1]:[od600_2-3]])</f>
        <v>0.49300000000000005</v>
      </c>
      <c r="M10" s="6"/>
      <c r="N10" s="6"/>
      <c r="O10" s="6"/>
      <c r="P10" s="6">
        <v>0.30341906802575586</v>
      </c>
      <c r="Q10" s="6">
        <v>2.3747488399047138E-3</v>
      </c>
      <c r="R10" s="7"/>
      <c r="S10" s="7"/>
      <c r="T10" s="7"/>
      <c r="U10" s="7">
        <v>0.1890483882449131</v>
      </c>
      <c r="V10" s="7">
        <v>1.7749416405896728E-3</v>
      </c>
      <c r="W10" s="1"/>
      <c r="X10" s="1"/>
      <c r="Y10" s="1"/>
      <c r="Z10" s="1">
        <v>0.18290225138610683</v>
      </c>
      <c r="AA10" s="1">
        <v>1.9702227614184953E-3</v>
      </c>
      <c r="AB10" s="8"/>
      <c r="AC10" s="8"/>
      <c r="AD10" s="8"/>
      <c r="AE10" s="8">
        <v>0.34761781236784661</v>
      </c>
      <c r="AF10" s="8">
        <v>4.0769126237175622E-3</v>
      </c>
    </row>
    <row r="11" spans="1:32">
      <c r="C11" t="s">
        <v>57</v>
      </c>
      <c r="D11" s="3">
        <v>0.44500000000000001</v>
      </c>
      <c r="E11" s="3">
        <v>0.44</v>
      </c>
      <c r="F11" s="3">
        <v>0.438</v>
      </c>
      <c r="G11" s="3">
        <f t="shared" si="2"/>
        <v>0.4441666666666666</v>
      </c>
      <c r="H11" s="3">
        <f t="shared" si="3"/>
        <v>5.8452259722500659E-3</v>
      </c>
      <c r="I11" s="5">
        <v>0.45400000000000001</v>
      </c>
      <c r="J11" s="5">
        <v>0.44700000000000001</v>
      </c>
      <c r="K11" s="5">
        <v>0.441</v>
      </c>
      <c r="L11" s="5">
        <f>AVERAGE(Table1[[#This Row],[od600_2-1]:[od600_2-3]])</f>
        <v>0.44733333333333336</v>
      </c>
      <c r="M11" s="6"/>
      <c r="N11" s="6"/>
      <c r="O11" s="6"/>
      <c r="P11" s="6">
        <v>0.26256052152615628</v>
      </c>
      <c r="Q11" s="6">
        <v>2.422250991423049E-3</v>
      </c>
      <c r="R11" s="7"/>
      <c r="S11" s="7"/>
      <c r="T11" s="7"/>
      <c r="U11" s="7">
        <v>0.16481206382665647</v>
      </c>
      <c r="V11" s="7">
        <v>2.2114088653464514E-3</v>
      </c>
      <c r="W11" s="1"/>
      <c r="X11" s="1"/>
      <c r="Y11" s="1"/>
      <c r="Z11" s="1">
        <v>0.15772777934335502</v>
      </c>
      <c r="AA11" s="1">
        <v>1.9859254787816067E-3</v>
      </c>
      <c r="AB11" s="8"/>
      <c r="AC11" s="8"/>
      <c r="AD11" s="8"/>
      <c r="AE11" s="8">
        <v>0.30174648787798847</v>
      </c>
      <c r="AF11" s="8">
        <v>3.9141115365971917E-3</v>
      </c>
    </row>
    <row r="12" spans="1:32">
      <c r="C12" t="s">
        <v>58</v>
      </c>
      <c r="D12" s="3">
        <v>0.38600000000000001</v>
      </c>
      <c r="E12" s="3">
        <v>0.38800000000000001</v>
      </c>
      <c r="F12" s="3">
        <v>0.38600000000000001</v>
      </c>
      <c r="G12" s="3">
        <f t="shared" si="2"/>
        <v>0.39383333333333342</v>
      </c>
      <c r="H12" s="3">
        <f t="shared" si="3"/>
        <v>1.173740459670137E-2</v>
      </c>
      <c r="I12" s="5">
        <v>0.41299999999999998</v>
      </c>
      <c r="J12" s="5">
        <v>0.40400000000000003</v>
      </c>
      <c r="K12" s="5">
        <v>0.38600000000000001</v>
      </c>
      <c r="L12" s="5">
        <f>AVERAGE(Table1[[#This Row],[od600_2-1]:[od600_2-3]])</f>
        <v>0.40099999999999997</v>
      </c>
      <c r="M12" s="6"/>
      <c r="N12" s="6"/>
      <c r="O12" s="6"/>
      <c r="P12" s="6">
        <v>0.23769987893560593</v>
      </c>
      <c r="Q12" s="6">
        <v>1.8306261765567368E-3</v>
      </c>
      <c r="R12" s="7"/>
      <c r="S12" s="7"/>
      <c r="T12" s="7"/>
      <c r="U12" s="7">
        <v>0.14988730592598198</v>
      </c>
      <c r="V12" s="7">
        <v>1.4124731617252404E-3</v>
      </c>
      <c r="W12" s="1"/>
      <c r="X12" s="1"/>
      <c r="Y12" s="1"/>
      <c r="Z12" s="1">
        <v>0.14382327275861989</v>
      </c>
      <c r="AA12" s="1">
        <v>1.376275164712669E-3</v>
      </c>
      <c r="AB12" s="8"/>
      <c r="AC12" s="8"/>
      <c r="AD12" s="8"/>
      <c r="AE12" s="8">
        <v>0.27603624460529236</v>
      </c>
      <c r="AF12" s="8">
        <v>2.9902755856819388E-3</v>
      </c>
    </row>
    <row r="13" spans="1:32">
      <c r="C13" t="s">
        <v>59</v>
      </c>
      <c r="D13" s="3">
        <v>0.34399999999999997</v>
      </c>
      <c r="E13" s="3">
        <v>0.33100000000000002</v>
      </c>
      <c r="F13" s="3">
        <v>0.33300000000000002</v>
      </c>
      <c r="G13" s="3">
        <f t="shared" si="2"/>
        <v>0.33433333333333332</v>
      </c>
      <c r="H13" s="3">
        <f t="shared" si="3"/>
        <v>7.420691791650327E-3</v>
      </c>
      <c r="I13" s="5">
        <v>0.34300000000000003</v>
      </c>
      <c r="J13" s="5">
        <v>0.32700000000000001</v>
      </c>
      <c r="K13" s="5">
        <v>0.32800000000000001</v>
      </c>
      <c r="L13" s="5">
        <f>AVERAGE(Table1[[#This Row],[od600_2-1]:[od600_2-3]])</f>
        <v>0.33266666666666667</v>
      </c>
      <c r="M13" s="6"/>
      <c r="N13" s="6"/>
      <c r="O13" s="6"/>
      <c r="P13" s="6">
        <v>0.2144816863253691</v>
      </c>
      <c r="Q13" s="6">
        <v>1.9588286079727951E-3</v>
      </c>
      <c r="R13" s="7"/>
      <c r="S13" s="7"/>
      <c r="T13" s="7"/>
      <c r="U13" s="7">
        <v>0.13154368070753311</v>
      </c>
      <c r="V13" s="7">
        <v>1.3298540552627869E-3</v>
      </c>
      <c r="W13" s="1"/>
      <c r="X13" s="1"/>
      <c r="Y13" s="1"/>
      <c r="Z13" s="1">
        <v>0.12765822006487407</v>
      </c>
      <c r="AA13" s="1">
        <v>1.1011085279769904E-3</v>
      </c>
      <c r="AB13" s="8"/>
      <c r="AC13" s="8"/>
      <c r="AD13" s="8"/>
      <c r="AE13" s="8">
        <v>0.24309360545558634</v>
      </c>
      <c r="AF13" s="8">
        <v>2.7507384901865758E-3</v>
      </c>
    </row>
    <row r="16" spans="1:32" ht="17.100000000000001" thickBot="1"/>
    <row r="17" spans="2:4">
      <c r="B17" s="23"/>
      <c r="C17" s="24" t="s">
        <v>10</v>
      </c>
      <c r="D17" s="25" t="s">
        <v>11</v>
      </c>
    </row>
    <row r="18" spans="2:4">
      <c r="B18" s="26" t="s">
        <v>12</v>
      </c>
      <c r="C18" cm="1">
        <f t="array" ref="C18:D18">LINEST(Table1[od600_1_avg], Table1[worker2_avg])</f>
        <v>1.3250177237177965</v>
      </c>
      <c r="D18" s="27">
        <v>8.2053280127977385E-2</v>
      </c>
    </row>
    <row r="19" spans="2:4">
      <c r="B19" s="26" t="s">
        <v>13</v>
      </c>
      <c r="C19" cm="1">
        <f t="array" ref="C19:D19">LINEST(Table1[od600_1_avg], Table1[worker3_avg])</f>
        <v>2.1847075141019481</v>
      </c>
      <c r="D19" s="27">
        <v>6.2397905788469155E-2</v>
      </c>
    </row>
    <row r="20" spans="2:4">
      <c r="B20" s="26" t="s">
        <v>14</v>
      </c>
      <c r="C20" cm="1">
        <f t="array" ref="C20:D20">LINEST(Table1[od600_1_avg], Table1[worker4_avg])</f>
        <v>2.2352385629938132</v>
      </c>
      <c r="D20" s="27">
        <v>7.3047819535797309E-2</v>
      </c>
    </row>
    <row r="21" spans="2:4" ht="17.100000000000001" thickBot="1">
      <c r="B21" s="28" t="s">
        <v>15</v>
      </c>
      <c r="C21" s="29" cm="1">
        <f t="array" ref="C21:D21">LINEST(Table1[od600_1_avg], Table1[worker5_avg])</f>
        <v>1.1553498825135995</v>
      </c>
      <c r="D21" s="30">
        <v>8.0476913598220928E-2</v>
      </c>
    </row>
  </sheetData>
  <phoneticPr fontId="1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3B52-9F4B-7540-BFA4-EE4A5FF5F31A}">
  <dimension ref="A1:AS214"/>
  <sheetViews>
    <sheetView zoomScale="69" workbookViewId="0">
      <selection activeCell="I3" sqref="I3:K7"/>
    </sheetView>
  </sheetViews>
  <sheetFormatPr defaultColWidth="11" defaultRowHeight="15.95"/>
  <cols>
    <col min="1" max="1" width="13.375" bestFit="1" customWidth="1"/>
    <col min="11" max="11" width="10.875" style="16"/>
    <col min="12" max="12" width="10.875" style="17"/>
    <col min="13" max="13" width="13.375" bestFit="1" customWidth="1"/>
    <col min="23" max="23" width="10.875" style="16"/>
    <col min="24" max="24" width="13.875" style="17" bestFit="1" customWidth="1"/>
    <col min="34" max="34" width="10.875" style="16"/>
    <col min="35" max="35" width="18.5" style="17" bestFit="1" customWidth="1"/>
    <col min="38" max="38" width="10.875" customWidth="1"/>
    <col min="45" max="45" width="10.875" style="16"/>
  </cols>
  <sheetData>
    <row r="1" spans="1:45">
      <c r="A1" s="37" t="s">
        <v>56</v>
      </c>
      <c r="B1" s="37"/>
      <c r="C1" s="37"/>
      <c r="D1" s="37"/>
      <c r="E1" s="37"/>
      <c r="F1" s="37"/>
      <c r="G1" s="37"/>
      <c r="H1" s="37"/>
      <c r="I1" s="37"/>
      <c r="J1" s="37"/>
      <c r="K1" s="38"/>
      <c r="M1" s="37" t="s">
        <v>57</v>
      </c>
      <c r="N1" s="37"/>
      <c r="O1" s="37"/>
      <c r="P1" s="37"/>
      <c r="Q1" s="37"/>
      <c r="R1" s="37"/>
      <c r="S1" s="37"/>
      <c r="T1" s="37"/>
      <c r="U1" s="37"/>
      <c r="V1" s="37"/>
      <c r="W1" s="38"/>
      <c r="X1" s="39" t="s">
        <v>58</v>
      </c>
      <c r="Y1" s="37"/>
      <c r="Z1" s="37"/>
      <c r="AA1" s="37"/>
      <c r="AB1" s="37"/>
      <c r="AC1" s="37"/>
      <c r="AD1" s="37"/>
      <c r="AE1" s="37"/>
      <c r="AF1" s="37"/>
      <c r="AG1" s="37"/>
      <c r="AH1" s="38"/>
      <c r="AI1" s="39" t="s">
        <v>59</v>
      </c>
      <c r="AJ1" s="37"/>
      <c r="AK1" s="37"/>
      <c r="AL1" s="37"/>
      <c r="AM1" s="37"/>
      <c r="AN1" s="37"/>
      <c r="AO1" s="37"/>
      <c r="AP1" s="37"/>
      <c r="AQ1" s="37"/>
      <c r="AR1" s="37"/>
      <c r="AS1" s="38"/>
    </row>
    <row r="2" spans="1:4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V2" t="s">
        <v>67</v>
      </c>
      <c r="W2" s="16" t="s">
        <v>31</v>
      </c>
      <c r="X2" s="17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I2" s="17" t="s">
        <v>60</v>
      </c>
      <c r="AJ2" t="s">
        <v>61</v>
      </c>
      <c r="AK2" t="s">
        <v>62</v>
      </c>
      <c r="AL2" t="s">
        <v>63</v>
      </c>
      <c r="AM2" t="s">
        <v>64</v>
      </c>
      <c r="AN2" t="s">
        <v>65</v>
      </c>
      <c r="AO2" t="s">
        <v>66</v>
      </c>
    </row>
    <row r="3" spans="1:45">
      <c r="A3" s="14">
        <v>45595.40730324074</v>
      </c>
      <c r="B3" t="s">
        <v>68</v>
      </c>
      <c r="C3" t="s">
        <v>5</v>
      </c>
      <c r="D3" t="s">
        <v>69</v>
      </c>
      <c r="E3">
        <v>0.30895656838195301</v>
      </c>
      <c r="F3">
        <v>90</v>
      </c>
      <c r="G3">
        <v>2</v>
      </c>
      <c r="J3" t="s">
        <v>67</v>
      </c>
      <c r="K3" s="16" t="s">
        <v>31</v>
      </c>
      <c r="M3" s="14">
        <v>45595.435196759259</v>
      </c>
      <c r="N3" t="s">
        <v>68</v>
      </c>
      <c r="O3" t="s">
        <v>5</v>
      </c>
      <c r="P3" t="s">
        <v>70</v>
      </c>
      <c r="Q3">
        <v>0.26735785023726599</v>
      </c>
      <c r="R3">
        <v>90</v>
      </c>
      <c r="S3">
        <v>2</v>
      </c>
      <c r="U3" t="s">
        <v>5</v>
      </c>
      <c r="V3">
        <f>AVERAGE(Q3:Q35)</f>
        <v>0.26256052152615628</v>
      </c>
      <c r="W3" s="16">
        <f>STDEV(Q3:Q35)</f>
        <v>2.422250991423049E-3</v>
      </c>
      <c r="X3" s="18">
        <v>45595.461122685185</v>
      </c>
      <c r="Y3" t="s">
        <v>68</v>
      </c>
      <c r="Z3" t="s">
        <v>5</v>
      </c>
      <c r="AA3" t="s">
        <v>71</v>
      </c>
      <c r="AB3">
        <v>0.23708021268843699</v>
      </c>
      <c r="AC3">
        <v>90</v>
      </c>
      <c r="AD3">
        <v>2</v>
      </c>
      <c r="AI3" s="18">
        <v>45595.480208333334</v>
      </c>
      <c r="AJ3" t="s">
        <v>68</v>
      </c>
      <c r="AK3" t="s">
        <v>5</v>
      </c>
      <c r="AL3" t="s">
        <v>72</v>
      </c>
      <c r="AM3">
        <v>0.218005940455062</v>
      </c>
      <c r="AN3">
        <v>90</v>
      </c>
      <c r="AO3">
        <v>2</v>
      </c>
    </row>
    <row r="4" spans="1:45">
      <c r="A4" s="14">
        <v>45595.407361111109</v>
      </c>
      <c r="B4" t="s">
        <v>68</v>
      </c>
      <c r="C4" t="s">
        <v>5</v>
      </c>
      <c r="D4" t="s">
        <v>73</v>
      </c>
      <c r="E4">
        <v>0.30386736931988201</v>
      </c>
      <c r="F4">
        <v>90</v>
      </c>
      <c r="G4">
        <v>2</v>
      </c>
      <c r="I4" t="s">
        <v>5</v>
      </c>
      <c r="J4">
        <f>AVERAGE(E3:E29)</f>
        <v>0.30341906802575586</v>
      </c>
      <c r="K4" s="16">
        <f>STDEV(E3:E29)</f>
        <v>2.3747488399047138E-3</v>
      </c>
      <c r="M4" s="14">
        <v>45595.435254629629</v>
      </c>
      <c r="N4" t="s">
        <v>68</v>
      </c>
      <c r="O4" t="s">
        <v>5</v>
      </c>
      <c r="P4" t="s">
        <v>74</v>
      </c>
      <c r="Q4">
        <v>0.26290982158906301</v>
      </c>
      <c r="R4">
        <v>90</v>
      </c>
      <c r="S4">
        <v>2</v>
      </c>
      <c r="U4" t="s">
        <v>7</v>
      </c>
      <c r="V4">
        <f>AVERAGE(Q36:Q60)</f>
        <v>0.16481206382665647</v>
      </c>
      <c r="W4" s="16">
        <f>STDEV(Q36:Q60)</f>
        <v>2.2114088653464514E-3</v>
      </c>
      <c r="X4" s="18">
        <v>45595.461180555554</v>
      </c>
      <c r="Y4" t="s">
        <v>68</v>
      </c>
      <c r="Z4" t="s">
        <v>5</v>
      </c>
      <c r="AA4" t="s">
        <v>75</v>
      </c>
      <c r="AB4">
        <v>0.23686304756502699</v>
      </c>
      <c r="AC4">
        <v>90</v>
      </c>
      <c r="AD4">
        <v>2</v>
      </c>
      <c r="AG4" t="s">
        <v>67</v>
      </c>
      <c r="AH4" s="16" t="s">
        <v>31</v>
      </c>
      <c r="AI4" s="18">
        <v>45595.480266203704</v>
      </c>
      <c r="AJ4" t="s">
        <v>68</v>
      </c>
      <c r="AK4" t="s">
        <v>5</v>
      </c>
      <c r="AL4" t="s">
        <v>76</v>
      </c>
      <c r="AM4">
        <v>0.21638604103675299</v>
      </c>
      <c r="AN4">
        <v>90</v>
      </c>
      <c r="AO4">
        <v>2</v>
      </c>
      <c r="AR4" t="s">
        <v>67</v>
      </c>
      <c r="AS4" s="16" t="s">
        <v>31</v>
      </c>
    </row>
    <row r="5" spans="1:45">
      <c r="A5" s="14">
        <v>45595.407418981478</v>
      </c>
      <c r="B5" t="s">
        <v>68</v>
      </c>
      <c r="C5" t="s">
        <v>5</v>
      </c>
      <c r="D5" t="s">
        <v>77</v>
      </c>
      <c r="E5">
        <v>0.30546861616714199</v>
      </c>
      <c r="F5">
        <v>90</v>
      </c>
      <c r="G5">
        <v>2</v>
      </c>
      <c r="I5" t="s">
        <v>7</v>
      </c>
      <c r="J5">
        <f>AVERAGE(E30:E68)</f>
        <v>0.1890483882449131</v>
      </c>
      <c r="K5" s="16">
        <f>STDEV(E30:E68)</f>
        <v>1.7749416405896728E-3</v>
      </c>
      <c r="M5" s="14">
        <v>45595.435312499998</v>
      </c>
      <c r="N5" t="s">
        <v>68</v>
      </c>
      <c r="O5" t="s">
        <v>5</v>
      </c>
      <c r="P5" t="s">
        <v>78</v>
      </c>
      <c r="Q5">
        <v>0.26346263321227997</v>
      </c>
      <c r="R5">
        <v>90</v>
      </c>
      <c r="S5">
        <v>2</v>
      </c>
      <c r="U5" t="s">
        <v>8</v>
      </c>
      <c r="V5">
        <f>AVERAGE(Q61:Q90)</f>
        <v>0.15772777934335502</v>
      </c>
      <c r="W5" s="16">
        <f>STDEV(Q61:Q90)</f>
        <v>1.9859254787816067E-3</v>
      </c>
      <c r="X5" s="18">
        <v>45595.461238425924</v>
      </c>
      <c r="Y5" t="s">
        <v>68</v>
      </c>
      <c r="Z5" t="s">
        <v>5</v>
      </c>
      <c r="AA5" t="s">
        <v>79</v>
      </c>
      <c r="AB5">
        <v>0.23552753492012299</v>
      </c>
      <c r="AC5">
        <v>90</v>
      </c>
      <c r="AD5">
        <v>2</v>
      </c>
      <c r="AF5" t="s">
        <v>5</v>
      </c>
      <c r="AG5">
        <f>AVERAGE(AB3:AB60)</f>
        <v>0.23769987893560593</v>
      </c>
      <c r="AH5" s="16">
        <f>STDEV(AB3:AB60)</f>
        <v>1.8306261765567368E-3</v>
      </c>
      <c r="AI5" s="18">
        <v>45595.480324074073</v>
      </c>
      <c r="AJ5" t="s">
        <v>68</v>
      </c>
      <c r="AK5" t="s">
        <v>5</v>
      </c>
      <c r="AL5" t="s">
        <v>80</v>
      </c>
      <c r="AM5">
        <v>0.215092314977501</v>
      </c>
      <c r="AN5">
        <v>90</v>
      </c>
      <c r="AO5">
        <v>2</v>
      </c>
      <c r="AQ5" t="s">
        <v>5</v>
      </c>
      <c r="AR5">
        <f>AVERAGE(AM3:AM39)</f>
        <v>0.2144816863253691</v>
      </c>
      <c r="AS5" s="16">
        <f>STDEV(AM3:AM39)</f>
        <v>1.9588286079727951E-3</v>
      </c>
    </row>
    <row r="6" spans="1:45">
      <c r="A6" s="14">
        <v>45595.407476851855</v>
      </c>
      <c r="B6" t="s">
        <v>68</v>
      </c>
      <c r="C6" t="s">
        <v>5</v>
      </c>
      <c r="D6" t="s">
        <v>81</v>
      </c>
      <c r="E6">
        <v>0.30302683713501999</v>
      </c>
      <c r="F6">
        <v>90</v>
      </c>
      <c r="G6">
        <v>2</v>
      </c>
      <c r="I6" t="s">
        <v>8</v>
      </c>
      <c r="J6">
        <f>AVERAGE(E69:E118)</f>
        <v>0.18290225138610683</v>
      </c>
      <c r="K6" s="16">
        <f>STDEV(E69:E118)</f>
        <v>1.9702227614184953E-3</v>
      </c>
      <c r="M6" s="14">
        <v>45595.435370370367</v>
      </c>
      <c r="N6" t="s">
        <v>68</v>
      </c>
      <c r="O6" t="s">
        <v>5</v>
      </c>
      <c r="P6" t="s">
        <v>82</v>
      </c>
      <c r="Q6">
        <v>0.26096826768862003</v>
      </c>
      <c r="R6">
        <v>90</v>
      </c>
      <c r="S6">
        <v>2</v>
      </c>
      <c r="U6" t="s">
        <v>9</v>
      </c>
      <c r="V6">
        <f>AVERAGE(Q91:Q120)</f>
        <v>0.30174648787798847</v>
      </c>
      <c r="W6" s="16">
        <f>STDEV(Q91:Q120)</f>
        <v>3.9141115365971917E-3</v>
      </c>
      <c r="X6" s="18">
        <v>45595.461296296293</v>
      </c>
      <c r="Y6" t="s">
        <v>68</v>
      </c>
      <c r="Z6" t="s">
        <v>5</v>
      </c>
      <c r="AA6" t="s">
        <v>83</v>
      </c>
      <c r="AB6">
        <v>0.23635450583617701</v>
      </c>
      <c r="AC6">
        <v>90</v>
      </c>
      <c r="AD6">
        <v>2</v>
      </c>
      <c r="AF6" t="s">
        <v>7</v>
      </c>
      <c r="AG6">
        <f>AVERAGE(AB61:AB98)</f>
        <v>0.14988730592598198</v>
      </c>
      <c r="AH6" s="16">
        <f>STDEV(AB61:AB98)</f>
        <v>1.4124731617252404E-3</v>
      </c>
      <c r="AI6" s="18">
        <v>45595.480381944442</v>
      </c>
      <c r="AJ6" t="s">
        <v>68</v>
      </c>
      <c r="AK6" t="s">
        <v>5</v>
      </c>
      <c r="AL6" t="s">
        <v>84</v>
      </c>
      <c r="AM6">
        <v>0.211548196260642</v>
      </c>
      <c r="AN6">
        <v>90</v>
      </c>
      <c r="AO6">
        <v>2</v>
      </c>
      <c r="AQ6" t="s">
        <v>7</v>
      </c>
      <c r="AR6">
        <f>AVERAGE(AM40:AM61)</f>
        <v>0.13154368070753311</v>
      </c>
      <c r="AS6" s="16">
        <f>STDEV(AM40:AM61)</f>
        <v>1.3298540552627869E-3</v>
      </c>
    </row>
    <row r="7" spans="1:45">
      <c r="A7" s="14">
        <v>45595.407534722224</v>
      </c>
      <c r="B7" t="s">
        <v>68</v>
      </c>
      <c r="C7" t="s">
        <v>5</v>
      </c>
      <c r="D7" t="s">
        <v>85</v>
      </c>
      <c r="E7">
        <v>0.30167539191389198</v>
      </c>
      <c r="F7">
        <v>90</v>
      </c>
      <c r="G7">
        <v>2</v>
      </c>
      <c r="I7" t="s">
        <v>9</v>
      </c>
      <c r="J7">
        <f>AVERAGE(E119:E154)</f>
        <v>0.34761781236784661</v>
      </c>
      <c r="K7" s="16">
        <f>STDEV(E119:E154)</f>
        <v>4.0769126237175622E-3</v>
      </c>
      <c r="M7" s="14">
        <v>45595.435428240744</v>
      </c>
      <c r="N7" t="s">
        <v>68</v>
      </c>
      <c r="O7" t="s">
        <v>5</v>
      </c>
      <c r="P7" t="s">
        <v>86</v>
      </c>
      <c r="Q7">
        <v>0.26182077957155497</v>
      </c>
      <c r="R7">
        <v>90</v>
      </c>
      <c r="S7">
        <v>2</v>
      </c>
      <c r="X7" s="18">
        <v>45595.461354166669</v>
      </c>
      <c r="Y7" t="s">
        <v>68</v>
      </c>
      <c r="Z7" t="s">
        <v>5</v>
      </c>
      <c r="AA7" t="s">
        <v>87</v>
      </c>
      <c r="AB7">
        <v>0.23253365330603301</v>
      </c>
      <c r="AC7">
        <v>90</v>
      </c>
      <c r="AD7">
        <v>2</v>
      </c>
      <c r="AF7" t="s">
        <v>8</v>
      </c>
      <c r="AG7">
        <f>AVERAGE(AB99:AB133)</f>
        <v>0.14382327275861989</v>
      </c>
      <c r="AH7" s="16">
        <f>STDEV(AB99:AB133)</f>
        <v>1.376275164712669E-3</v>
      </c>
      <c r="AI7" s="18">
        <v>45595.480439814812</v>
      </c>
      <c r="AJ7" t="s">
        <v>68</v>
      </c>
      <c r="AK7" t="s">
        <v>5</v>
      </c>
      <c r="AL7" t="s">
        <v>88</v>
      </c>
      <c r="AM7">
        <v>0.21397614581871299</v>
      </c>
      <c r="AN7">
        <v>90</v>
      </c>
      <c r="AO7">
        <v>2</v>
      </c>
      <c r="AQ7" t="s">
        <v>8</v>
      </c>
      <c r="AR7">
        <f>AVERAGE(AM62:AM89)</f>
        <v>0.12765822006487407</v>
      </c>
      <c r="AS7" s="16">
        <f>STDEV(AM62:AM89)</f>
        <v>1.1011085279769904E-3</v>
      </c>
    </row>
    <row r="8" spans="1:45">
      <c r="A8" s="14">
        <v>45595.407592592594</v>
      </c>
      <c r="B8" t="s">
        <v>68</v>
      </c>
      <c r="C8" t="s">
        <v>5</v>
      </c>
      <c r="D8" t="s">
        <v>89</v>
      </c>
      <c r="E8">
        <v>0.30362113575212202</v>
      </c>
      <c r="F8">
        <v>90</v>
      </c>
      <c r="G8">
        <v>2</v>
      </c>
      <c r="M8" s="14">
        <v>45595.435486111113</v>
      </c>
      <c r="N8" t="s">
        <v>68</v>
      </c>
      <c r="O8" t="s">
        <v>5</v>
      </c>
      <c r="P8" t="s">
        <v>90</v>
      </c>
      <c r="Q8">
        <v>0.25762585803085403</v>
      </c>
      <c r="R8">
        <v>90</v>
      </c>
      <c r="S8">
        <v>2</v>
      </c>
      <c r="X8" s="18">
        <v>45595.461412037039</v>
      </c>
      <c r="Y8" t="s">
        <v>68</v>
      </c>
      <c r="Z8" t="s">
        <v>5</v>
      </c>
      <c r="AA8" t="s">
        <v>91</v>
      </c>
      <c r="AB8">
        <v>0.233827062530582</v>
      </c>
      <c r="AC8">
        <v>90</v>
      </c>
      <c r="AD8">
        <v>2</v>
      </c>
      <c r="AF8" t="s">
        <v>9</v>
      </c>
      <c r="AG8">
        <f>AVERAGE(AB134:AB214)</f>
        <v>0.27603624460529236</v>
      </c>
      <c r="AH8" s="16">
        <f>STDEV(AB134:AB214)</f>
        <v>2.9902755856819388E-3</v>
      </c>
      <c r="AI8" s="18">
        <v>45595.480497685188</v>
      </c>
      <c r="AJ8" t="s">
        <v>68</v>
      </c>
      <c r="AK8" t="s">
        <v>5</v>
      </c>
      <c r="AL8" t="s">
        <v>92</v>
      </c>
      <c r="AM8">
        <v>0.21143511395579001</v>
      </c>
      <c r="AN8">
        <v>90</v>
      </c>
      <c r="AO8">
        <v>2</v>
      </c>
      <c r="AQ8" t="s">
        <v>9</v>
      </c>
      <c r="AR8">
        <f>AVERAGE(AM90:AM150)</f>
        <v>0.24309360545558634</v>
      </c>
      <c r="AS8" s="16">
        <f>STDEV(AM90:AM150)</f>
        <v>2.7507384901865758E-3</v>
      </c>
    </row>
    <row r="9" spans="1:45">
      <c r="A9" s="14">
        <v>45595.407650462963</v>
      </c>
      <c r="B9" t="s">
        <v>68</v>
      </c>
      <c r="C9" t="s">
        <v>5</v>
      </c>
      <c r="D9" t="s">
        <v>93</v>
      </c>
      <c r="E9">
        <v>0.30060013237002597</v>
      </c>
      <c r="F9">
        <v>90</v>
      </c>
      <c r="G9">
        <v>2</v>
      </c>
      <c r="M9" s="14">
        <v>45595.435543981483</v>
      </c>
      <c r="N9" t="s">
        <v>68</v>
      </c>
      <c r="O9" t="s">
        <v>5</v>
      </c>
      <c r="P9" t="s">
        <v>94</v>
      </c>
      <c r="Q9">
        <v>0.26310356246203398</v>
      </c>
      <c r="R9">
        <v>90</v>
      </c>
      <c r="S9">
        <v>2</v>
      </c>
      <c r="X9" s="18">
        <v>45595.461469907408</v>
      </c>
      <c r="Y9" t="s">
        <v>68</v>
      </c>
      <c r="Z9" t="s">
        <v>5</v>
      </c>
      <c r="AA9" t="s">
        <v>95</v>
      </c>
      <c r="AB9">
        <v>0.23634278909461201</v>
      </c>
      <c r="AC9">
        <v>90</v>
      </c>
      <c r="AD9">
        <v>2</v>
      </c>
      <c r="AI9" s="18">
        <v>45595.480555555558</v>
      </c>
      <c r="AJ9" t="s">
        <v>68</v>
      </c>
      <c r="AK9" t="s">
        <v>5</v>
      </c>
      <c r="AL9" t="s">
        <v>96</v>
      </c>
      <c r="AM9">
        <v>0.21005961747395399</v>
      </c>
      <c r="AN9">
        <v>90</v>
      </c>
      <c r="AO9">
        <v>2</v>
      </c>
    </row>
    <row r="10" spans="1:45">
      <c r="A10" s="14">
        <v>45595.407708333332</v>
      </c>
      <c r="B10" t="s">
        <v>68</v>
      </c>
      <c r="C10" t="s">
        <v>5</v>
      </c>
      <c r="D10" t="s">
        <v>97</v>
      </c>
      <c r="E10">
        <v>0.30188201865708703</v>
      </c>
      <c r="F10">
        <v>90</v>
      </c>
      <c r="G10">
        <v>2</v>
      </c>
      <c r="M10" s="14">
        <v>45595.435601851852</v>
      </c>
      <c r="N10" t="s">
        <v>68</v>
      </c>
      <c r="O10" t="s">
        <v>5</v>
      </c>
      <c r="P10" t="s">
        <v>98</v>
      </c>
      <c r="Q10">
        <v>0.26398184034420202</v>
      </c>
      <c r="R10">
        <v>90</v>
      </c>
      <c r="S10">
        <v>2</v>
      </c>
      <c r="X10" s="18">
        <v>45595.461527777778</v>
      </c>
      <c r="Y10" t="s">
        <v>68</v>
      </c>
      <c r="Z10" t="s">
        <v>5</v>
      </c>
      <c r="AA10" t="s">
        <v>99</v>
      </c>
      <c r="AB10">
        <v>0.23636160181962701</v>
      </c>
      <c r="AC10">
        <v>90</v>
      </c>
      <c r="AD10">
        <v>2</v>
      </c>
      <c r="AI10" s="18">
        <v>45595.480613425927</v>
      </c>
      <c r="AJ10" t="s">
        <v>68</v>
      </c>
      <c r="AK10" t="s">
        <v>5</v>
      </c>
      <c r="AL10" t="s">
        <v>100</v>
      </c>
      <c r="AM10">
        <v>0.212397440741497</v>
      </c>
      <c r="AN10">
        <v>90</v>
      </c>
      <c r="AO10">
        <v>2</v>
      </c>
    </row>
    <row r="11" spans="1:45">
      <c r="A11" s="14">
        <v>45595.407766203702</v>
      </c>
      <c r="B11" t="s">
        <v>68</v>
      </c>
      <c r="C11" t="s">
        <v>5</v>
      </c>
      <c r="D11" t="s">
        <v>101</v>
      </c>
      <c r="E11">
        <v>0.30368505203461599</v>
      </c>
      <c r="F11">
        <v>90</v>
      </c>
      <c r="G11">
        <v>2</v>
      </c>
      <c r="M11" s="14">
        <v>45595.435659722221</v>
      </c>
      <c r="N11" t="s">
        <v>68</v>
      </c>
      <c r="O11" t="s">
        <v>5</v>
      </c>
      <c r="P11" t="s">
        <v>102</v>
      </c>
      <c r="Q11">
        <v>0.26503487574726903</v>
      </c>
      <c r="R11">
        <v>90</v>
      </c>
      <c r="S11">
        <v>2</v>
      </c>
      <c r="X11" s="18">
        <v>45595.461585648147</v>
      </c>
      <c r="Y11" t="s">
        <v>68</v>
      </c>
      <c r="Z11" t="s">
        <v>5</v>
      </c>
      <c r="AA11" t="s">
        <v>103</v>
      </c>
      <c r="AB11">
        <v>0.23975318650871599</v>
      </c>
      <c r="AC11">
        <v>90</v>
      </c>
      <c r="AD11">
        <v>2</v>
      </c>
      <c r="AI11" s="18">
        <v>45595.480671296296</v>
      </c>
      <c r="AJ11" t="s">
        <v>68</v>
      </c>
      <c r="AK11" t="s">
        <v>5</v>
      </c>
      <c r="AL11" t="s">
        <v>104</v>
      </c>
      <c r="AM11">
        <v>0.211079075863604</v>
      </c>
      <c r="AN11">
        <v>90</v>
      </c>
      <c r="AO11">
        <v>2</v>
      </c>
    </row>
    <row r="12" spans="1:45">
      <c r="A12" s="14">
        <v>45595.407824074071</v>
      </c>
      <c r="B12" t="s">
        <v>68</v>
      </c>
      <c r="C12" t="s">
        <v>5</v>
      </c>
      <c r="D12" t="s">
        <v>105</v>
      </c>
      <c r="E12">
        <v>0.30395998719964001</v>
      </c>
      <c r="F12">
        <v>90</v>
      </c>
      <c r="G12">
        <v>2</v>
      </c>
      <c r="M12" s="14">
        <v>45595.435717592591</v>
      </c>
      <c r="N12" t="s">
        <v>68</v>
      </c>
      <c r="O12" t="s">
        <v>5</v>
      </c>
      <c r="P12" t="s">
        <v>106</v>
      </c>
      <c r="Q12">
        <v>0.26133729675887701</v>
      </c>
      <c r="R12">
        <v>90</v>
      </c>
      <c r="S12">
        <v>2</v>
      </c>
      <c r="X12" s="18">
        <v>45595.461643518516</v>
      </c>
      <c r="Y12" t="s">
        <v>68</v>
      </c>
      <c r="Z12" t="s">
        <v>5</v>
      </c>
      <c r="AA12" t="s">
        <v>107</v>
      </c>
      <c r="AB12">
        <v>0.24021416343736399</v>
      </c>
      <c r="AC12">
        <v>90</v>
      </c>
      <c r="AD12">
        <v>2</v>
      </c>
      <c r="AI12" s="18">
        <v>45595.480729166666</v>
      </c>
      <c r="AJ12" t="s">
        <v>68</v>
      </c>
      <c r="AK12" t="s">
        <v>5</v>
      </c>
      <c r="AL12" t="s">
        <v>108</v>
      </c>
      <c r="AM12">
        <v>0.211481891134467</v>
      </c>
      <c r="AN12">
        <v>90</v>
      </c>
      <c r="AO12">
        <v>2</v>
      </c>
    </row>
    <row r="13" spans="1:45">
      <c r="A13" s="14">
        <v>45595.407881944448</v>
      </c>
      <c r="B13" t="s">
        <v>68</v>
      </c>
      <c r="C13" t="s">
        <v>5</v>
      </c>
      <c r="D13" t="s">
        <v>109</v>
      </c>
      <c r="E13">
        <v>0.30359868536138801</v>
      </c>
      <c r="F13">
        <v>90</v>
      </c>
      <c r="G13">
        <v>2</v>
      </c>
      <c r="M13" s="14">
        <v>45595.43577546296</v>
      </c>
      <c r="N13" t="s">
        <v>68</v>
      </c>
      <c r="O13" t="s">
        <v>5</v>
      </c>
      <c r="P13" t="s">
        <v>110</v>
      </c>
      <c r="Q13">
        <v>0.25910813979851</v>
      </c>
      <c r="R13">
        <v>90</v>
      </c>
      <c r="S13">
        <v>2</v>
      </c>
      <c r="X13" s="18">
        <v>45595.461701388886</v>
      </c>
      <c r="Y13" t="s">
        <v>68</v>
      </c>
      <c r="Z13" t="s">
        <v>5</v>
      </c>
      <c r="AA13" t="s">
        <v>111</v>
      </c>
      <c r="AB13">
        <v>0.23800547213086701</v>
      </c>
      <c r="AC13">
        <v>90</v>
      </c>
      <c r="AD13">
        <v>2</v>
      </c>
      <c r="AI13" s="18">
        <v>45595.480787037035</v>
      </c>
      <c r="AJ13" t="s">
        <v>68</v>
      </c>
      <c r="AK13" t="s">
        <v>5</v>
      </c>
      <c r="AL13" t="s">
        <v>112</v>
      </c>
      <c r="AM13">
        <v>0.2172281834825</v>
      </c>
      <c r="AN13">
        <v>90</v>
      </c>
      <c r="AO13">
        <v>2</v>
      </c>
    </row>
    <row r="14" spans="1:45">
      <c r="A14" s="14">
        <v>45595.407939814817</v>
      </c>
      <c r="B14" t="s">
        <v>68</v>
      </c>
      <c r="C14" t="s">
        <v>5</v>
      </c>
      <c r="D14" t="s">
        <v>113</v>
      </c>
      <c r="E14">
        <v>0.30027993174241602</v>
      </c>
      <c r="F14">
        <v>90</v>
      </c>
      <c r="G14">
        <v>2</v>
      </c>
      <c r="M14" s="14">
        <v>45595.435833333337</v>
      </c>
      <c r="N14" t="s">
        <v>68</v>
      </c>
      <c r="O14" t="s">
        <v>5</v>
      </c>
      <c r="P14" t="s">
        <v>114</v>
      </c>
      <c r="Q14">
        <v>0.26313899264906898</v>
      </c>
      <c r="R14">
        <v>90</v>
      </c>
      <c r="S14">
        <v>2</v>
      </c>
      <c r="X14" s="18">
        <v>45595.461759259262</v>
      </c>
      <c r="Y14" t="s">
        <v>68</v>
      </c>
      <c r="Z14" t="s">
        <v>5</v>
      </c>
      <c r="AA14" t="s">
        <v>115</v>
      </c>
      <c r="AB14">
        <v>0.23612589357642699</v>
      </c>
      <c r="AC14">
        <v>90</v>
      </c>
      <c r="AD14">
        <v>2</v>
      </c>
      <c r="AI14" s="18">
        <v>45595.480844907404</v>
      </c>
      <c r="AJ14" t="s">
        <v>68</v>
      </c>
      <c r="AK14" t="s">
        <v>5</v>
      </c>
      <c r="AL14" t="s">
        <v>116</v>
      </c>
      <c r="AM14">
        <v>0.214061968381006</v>
      </c>
      <c r="AN14">
        <v>90</v>
      </c>
      <c r="AO14">
        <v>2</v>
      </c>
    </row>
    <row r="15" spans="1:45">
      <c r="A15" s="14">
        <v>45595.407997685186</v>
      </c>
      <c r="B15" t="s">
        <v>68</v>
      </c>
      <c r="C15" t="s">
        <v>5</v>
      </c>
      <c r="D15" t="s">
        <v>117</v>
      </c>
      <c r="E15">
        <v>0.29963244898095998</v>
      </c>
      <c r="F15">
        <v>90</v>
      </c>
      <c r="G15">
        <v>2</v>
      </c>
      <c r="M15" s="14">
        <v>45595.435891203706</v>
      </c>
      <c r="N15" t="s">
        <v>68</v>
      </c>
      <c r="O15" t="s">
        <v>5</v>
      </c>
      <c r="P15" t="s">
        <v>118</v>
      </c>
      <c r="Q15">
        <v>0.264858730814305</v>
      </c>
      <c r="R15">
        <v>90</v>
      </c>
      <c r="S15">
        <v>2</v>
      </c>
      <c r="X15" s="18">
        <v>45595.461817129632</v>
      </c>
      <c r="Y15" t="s">
        <v>68</v>
      </c>
      <c r="Z15" t="s">
        <v>5</v>
      </c>
      <c r="AA15" t="s">
        <v>119</v>
      </c>
      <c r="AB15">
        <v>0.237549228359206</v>
      </c>
      <c r="AC15">
        <v>90</v>
      </c>
      <c r="AD15">
        <v>2</v>
      </c>
      <c r="AI15" s="18">
        <v>45595.480902777781</v>
      </c>
      <c r="AJ15" t="s">
        <v>68</v>
      </c>
      <c r="AK15" t="s">
        <v>5</v>
      </c>
      <c r="AL15" t="s">
        <v>120</v>
      </c>
      <c r="AM15">
        <v>0.21467440504147101</v>
      </c>
      <c r="AN15">
        <v>90</v>
      </c>
      <c r="AO15">
        <v>2</v>
      </c>
    </row>
    <row r="16" spans="1:45">
      <c r="A16" s="14">
        <v>45595.408055555556</v>
      </c>
      <c r="B16" t="s">
        <v>68</v>
      </c>
      <c r="C16" t="s">
        <v>5</v>
      </c>
      <c r="D16" t="s">
        <v>121</v>
      </c>
      <c r="E16">
        <v>0.30710125848262398</v>
      </c>
      <c r="F16">
        <v>90</v>
      </c>
      <c r="G16">
        <v>2</v>
      </c>
      <c r="M16" s="14">
        <v>45595.435949074075</v>
      </c>
      <c r="N16" t="s">
        <v>68</v>
      </c>
      <c r="O16" t="s">
        <v>5</v>
      </c>
      <c r="P16" t="s">
        <v>122</v>
      </c>
      <c r="Q16">
        <v>0.26156917430166698</v>
      </c>
      <c r="R16">
        <v>90</v>
      </c>
      <c r="S16">
        <v>2</v>
      </c>
      <c r="X16" s="18">
        <v>45595.461875000001</v>
      </c>
      <c r="Y16" t="s">
        <v>68</v>
      </c>
      <c r="Z16" t="s">
        <v>5</v>
      </c>
      <c r="AA16" t="s">
        <v>123</v>
      </c>
      <c r="AB16">
        <v>0.236446014715605</v>
      </c>
      <c r="AC16">
        <v>90</v>
      </c>
      <c r="AD16">
        <v>2</v>
      </c>
      <c r="AI16" s="18">
        <v>45595.48096064815</v>
      </c>
      <c r="AJ16" t="s">
        <v>68</v>
      </c>
      <c r="AK16" t="s">
        <v>5</v>
      </c>
      <c r="AL16" t="s">
        <v>124</v>
      </c>
      <c r="AM16">
        <v>0.212990011722131</v>
      </c>
      <c r="AN16">
        <v>90</v>
      </c>
      <c r="AO16">
        <v>2</v>
      </c>
    </row>
    <row r="17" spans="1:41">
      <c r="A17" s="14">
        <v>45595.408113425925</v>
      </c>
      <c r="B17" t="s">
        <v>68</v>
      </c>
      <c r="C17" t="s">
        <v>5</v>
      </c>
      <c r="D17" t="s">
        <v>125</v>
      </c>
      <c r="E17">
        <v>0.30530502873426002</v>
      </c>
      <c r="F17">
        <v>90</v>
      </c>
      <c r="G17">
        <v>2</v>
      </c>
      <c r="M17" s="14">
        <v>45595.436006944445</v>
      </c>
      <c r="N17" t="s">
        <v>68</v>
      </c>
      <c r="O17" t="s">
        <v>5</v>
      </c>
      <c r="P17" t="s">
        <v>126</v>
      </c>
      <c r="Q17">
        <v>0.26026294176785397</v>
      </c>
      <c r="R17">
        <v>90</v>
      </c>
      <c r="S17">
        <v>2</v>
      </c>
      <c r="X17" s="18">
        <v>45595.46193287037</v>
      </c>
      <c r="Y17" t="s">
        <v>68</v>
      </c>
      <c r="Z17" t="s">
        <v>5</v>
      </c>
      <c r="AA17" t="s">
        <v>127</v>
      </c>
      <c r="AB17">
        <v>0.23461183843985201</v>
      </c>
      <c r="AC17">
        <v>90</v>
      </c>
      <c r="AD17">
        <v>2</v>
      </c>
      <c r="AI17" s="18">
        <v>45595.48101851852</v>
      </c>
      <c r="AJ17" t="s">
        <v>68</v>
      </c>
      <c r="AK17" t="s">
        <v>5</v>
      </c>
      <c r="AL17" t="s">
        <v>128</v>
      </c>
      <c r="AM17">
        <v>0.21395390864922501</v>
      </c>
      <c r="AN17">
        <v>90</v>
      </c>
      <c r="AO17">
        <v>2</v>
      </c>
    </row>
    <row r="18" spans="1:41">
      <c r="A18" s="14">
        <v>45595.408171296294</v>
      </c>
      <c r="B18" t="s">
        <v>68</v>
      </c>
      <c r="C18" t="s">
        <v>5</v>
      </c>
      <c r="D18" t="s">
        <v>129</v>
      </c>
      <c r="E18">
        <v>0.30568792535303602</v>
      </c>
      <c r="F18">
        <v>90</v>
      </c>
      <c r="G18">
        <v>2</v>
      </c>
      <c r="M18" s="14">
        <v>45595.436064814814</v>
      </c>
      <c r="N18" t="s">
        <v>68</v>
      </c>
      <c r="O18" t="s">
        <v>5</v>
      </c>
      <c r="P18" t="s">
        <v>130</v>
      </c>
      <c r="Q18">
        <v>0.25936845906836498</v>
      </c>
      <c r="R18">
        <v>90</v>
      </c>
      <c r="S18">
        <v>2</v>
      </c>
      <c r="X18" s="18">
        <v>45595.46199074074</v>
      </c>
      <c r="Y18" t="s">
        <v>68</v>
      </c>
      <c r="Z18" t="s">
        <v>5</v>
      </c>
      <c r="AA18" t="s">
        <v>131</v>
      </c>
      <c r="AB18">
        <v>0.236443963554201</v>
      </c>
      <c r="AC18">
        <v>90</v>
      </c>
      <c r="AD18">
        <v>2</v>
      </c>
      <c r="AI18" s="18">
        <v>45595.481076388889</v>
      </c>
      <c r="AJ18" t="s">
        <v>68</v>
      </c>
      <c r="AK18" t="s">
        <v>5</v>
      </c>
      <c r="AL18" t="s">
        <v>132</v>
      </c>
      <c r="AM18">
        <v>0.21540289108097799</v>
      </c>
      <c r="AN18">
        <v>90</v>
      </c>
      <c r="AO18">
        <v>2</v>
      </c>
    </row>
    <row r="19" spans="1:41">
      <c r="A19" s="14">
        <v>45595.408229166664</v>
      </c>
      <c r="B19" t="s">
        <v>68</v>
      </c>
      <c r="C19" t="s">
        <v>5</v>
      </c>
      <c r="D19" t="s">
        <v>133</v>
      </c>
      <c r="E19">
        <v>0.30534604939579502</v>
      </c>
      <c r="F19">
        <v>90</v>
      </c>
      <c r="G19">
        <v>2</v>
      </c>
      <c r="M19" s="14">
        <v>45595.436122685183</v>
      </c>
      <c r="N19" t="s">
        <v>68</v>
      </c>
      <c r="O19" t="s">
        <v>5</v>
      </c>
      <c r="P19" t="s">
        <v>134</v>
      </c>
      <c r="Q19">
        <v>0.26566667114325898</v>
      </c>
      <c r="R19">
        <v>90</v>
      </c>
      <c r="S19">
        <v>2</v>
      </c>
      <c r="X19" s="18">
        <v>45595.462048611109</v>
      </c>
      <c r="Y19" t="s">
        <v>68</v>
      </c>
      <c r="Z19" t="s">
        <v>5</v>
      </c>
      <c r="AA19" t="s">
        <v>135</v>
      </c>
      <c r="AB19">
        <v>0.236569856931276</v>
      </c>
      <c r="AC19">
        <v>90</v>
      </c>
      <c r="AD19">
        <v>2</v>
      </c>
      <c r="AI19" s="18">
        <v>45595.481134259258</v>
      </c>
      <c r="AJ19" t="s">
        <v>68</v>
      </c>
      <c r="AK19" t="s">
        <v>5</v>
      </c>
      <c r="AL19" t="s">
        <v>136</v>
      </c>
      <c r="AM19">
        <v>0.21461180428566601</v>
      </c>
      <c r="AN19">
        <v>90</v>
      </c>
      <c r="AO19">
        <v>2</v>
      </c>
    </row>
    <row r="20" spans="1:41">
      <c r="A20" s="14">
        <v>45595.40828703704</v>
      </c>
      <c r="B20" t="s">
        <v>68</v>
      </c>
      <c r="C20" t="s">
        <v>5</v>
      </c>
      <c r="D20" t="s">
        <v>137</v>
      </c>
      <c r="E20">
        <v>0.30034996647911899</v>
      </c>
      <c r="F20">
        <v>90</v>
      </c>
      <c r="G20">
        <v>2</v>
      </c>
      <c r="M20" s="14">
        <v>45595.436180555553</v>
      </c>
      <c r="N20" t="s">
        <v>68</v>
      </c>
      <c r="O20" t="s">
        <v>5</v>
      </c>
      <c r="P20" t="s">
        <v>138</v>
      </c>
      <c r="Q20">
        <v>0.26566370740812301</v>
      </c>
      <c r="R20">
        <v>90</v>
      </c>
      <c r="S20">
        <v>2</v>
      </c>
      <c r="X20" s="18">
        <v>45595.462106481478</v>
      </c>
      <c r="Y20" t="s">
        <v>68</v>
      </c>
      <c r="Z20" t="s">
        <v>5</v>
      </c>
      <c r="AA20" t="s">
        <v>139</v>
      </c>
      <c r="AB20">
        <v>0.23847846253529301</v>
      </c>
      <c r="AC20">
        <v>90</v>
      </c>
      <c r="AD20">
        <v>2</v>
      </c>
      <c r="AI20" s="18">
        <v>45595.481192129628</v>
      </c>
      <c r="AJ20" t="s">
        <v>68</v>
      </c>
      <c r="AK20" t="s">
        <v>5</v>
      </c>
      <c r="AL20" t="s">
        <v>140</v>
      </c>
      <c r="AM20">
        <v>0.21587826397000601</v>
      </c>
      <c r="AN20">
        <v>90</v>
      </c>
      <c r="AO20">
        <v>2</v>
      </c>
    </row>
    <row r="21" spans="1:41">
      <c r="A21" s="14">
        <v>45595.40834490741</v>
      </c>
      <c r="B21" t="s">
        <v>68</v>
      </c>
      <c r="C21" t="s">
        <v>5</v>
      </c>
      <c r="D21" t="s">
        <v>141</v>
      </c>
      <c r="E21">
        <v>0.30183251978611703</v>
      </c>
      <c r="F21">
        <v>90</v>
      </c>
      <c r="G21">
        <v>2</v>
      </c>
      <c r="M21" s="14">
        <v>45595.436238425929</v>
      </c>
      <c r="N21" t="s">
        <v>68</v>
      </c>
      <c r="O21" t="s">
        <v>5</v>
      </c>
      <c r="P21" t="s">
        <v>142</v>
      </c>
      <c r="Q21">
        <v>0.26229322758344897</v>
      </c>
      <c r="R21">
        <v>90</v>
      </c>
      <c r="S21">
        <v>2</v>
      </c>
      <c r="X21" s="18">
        <v>45595.462164351855</v>
      </c>
      <c r="Y21" t="s">
        <v>68</v>
      </c>
      <c r="Z21" t="s">
        <v>5</v>
      </c>
      <c r="AA21" t="s">
        <v>143</v>
      </c>
      <c r="AB21">
        <v>0.235219470936463</v>
      </c>
      <c r="AC21">
        <v>90</v>
      </c>
      <c r="AD21">
        <v>2</v>
      </c>
      <c r="AI21" s="18">
        <v>45595.481249999997</v>
      </c>
      <c r="AJ21" t="s">
        <v>68</v>
      </c>
      <c r="AK21" t="s">
        <v>5</v>
      </c>
      <c r="AL21" t="s">
        <v>144</v>
      </c>
      <c r="AM21">
        <v>0.21357740084037799</v>
      </c>
      <c r="AN21">
        <v>90</v>
      </c>
      <c r="AO21">
        <v>2</v>
      </c>
    </row>
    <row r="22" spans="1:41">
      <c r="A22" s="14">
        <v>45595.408402777779</v>
      </c>
      <c r="B22" t="s">
        <v>68</v>
      </c>
      <c r="C22" t="s">
        <v>5</v>
      </c>
      <c r="D22" t="s">
        <v>145</v>
      </c>
      <c r="E22">
        <v>0.29973057578638901</v>
      </c>
      <c r="F22">
        <v>90</v>
      </c>
      <c r="G22">
        <v>2</v>
      </c>
      <c r="M22" s="14">
        <v>45595.436296296299</v>
      </c>
      <c r="N22" t="s">
        <v>68</v>
      </c>
      <c r="O22" t="s">
        <v>5</v>
      </c>
      <c r="P22" t="s">
        <v>146</v>
      </c>
      <c r="Q22">
        <v>0.26309013349752403</v>
      </c>
      <c r="R22">
        <v>90</v>
      </c>
      <c r="S22">
        <v>2</v>
      </c>
      <c r="X22" s="18">
        <v>45595.462222222224</v>
      </c>
      <c r="Y22" t="s">
        <v>68</v>
      </c>
      <c r="Z22" t="s">
        <v>5</v>
      </c>
      <c r="AA22" t="s">
        <v>147</v>
      </c>
      <c r="AB22">
        <v>0.237449177243583</v>
      </c>
      <c r="AC22">
        <v>90</v>
      </c>
      <c r="AD22">
        <v>2</v>
      </c>
      <c r="AI22" s="18">
        <v>45595.481307870374</v>
      </c>
      <c r="AJ22" t="s">
        <v>68</v>
      </c>
      <c r="AK22" t="s">
        <v>5</v>
      </c>
      <c r="AL22" t="s">
        <v>148</v>
      </c>
      <c r="AM22">
        <v>0.21542628167538599</v>
      </c>
      <c r="AN22">
        <v>90</v>
      </c>
      <c r="AO22">
        <v>2</v>
      </c>
    </row>
    <row r="23" spans="1:41">
      <c r="A23" s="14">
        <v>45595.408460648148</v>
      </c>
      <c r="B23" t="s">
        <v>68</v>
      </c>
      <c r="C23" t="s">
        <v>5</v>
      </c>
      <c r="D23" t="s">
        <v>149</v>
      </c>
      <c r="E23">
        <v>0.30241525728716201</v>
      </c>
      <c r="F23">
        <v>90</v>
      </c>
      <c r="G23">
        <v>2</v>
      </c>
      <c r="M23" s="14">
        <v>45595.436354166668</v>
      </c>
      <c r="N23" t="s">
        <v>68</v>
      </c>
      <c r="O23" t="s">
        <v>5</v>
      </c>
      <c r="P23" t="s">
        <v>150</v>
      </c>
      <c r="Q23">
        <v>0.263065809953971</v>
      </c>
      <c r="R23">
        <v>90</v>
      </c>
      <c r="S23">
        <v>2</v>
      </c>
      <c r="X23" s="18">
        <v>45595.462280092594</v>
      </c>
      <c r="Y23" t="s">
        <v>68</v>
      </c>
      <c r="Z23" t="s">
        <v>5</v>
      </c>
      <c r="AA23" t="s">
        <v>151</v>
      </c>
      <c r="AB23">
        <v>0.23813464740299201</v>
      </c>
      <c r="AC23">
        <v>90</v>
      </c>
      <c r="AD23">
        <v>2</v>
      </c>
      <c r="AI23" s="18">
        <v>45595.481365740743</v>
      </c>
      <c r="AJ23" t="s">
        <v>68</v>
      </c>
      <c r="AK23" t="s">
        <v>5</v>
      </c>
      <c r="AL23" t="s">
        <v>152</v>
      </c>
      <c r="AM23">
        <v>0.21298848400394799</v>
      </c>
      <c r="AN23">
        <v>90</v>
      </c>
      <c r="AO23">
        <v>2</v>
      </c>
    </row>
    <row r="24" spans="1:41">
      <c r="A24" s="14">
        <v>45595.408518518518</v>
      </c>
      <c r="B24" t="s">
        <v>68</v>
      </c>
      <c r="C24" t="s">
        <v>5</v>
      </c>
      <c r="D24" t="s">
        <v>153</v>
      </c>
      <c r="E24">
        <v>0.30337634702366401</v>
      </c>
      <c r="F24">
        <v>90</v>
      </c>
      <c r="G24">
        <v>2</v>
      </c>
      <c r="M24" s="14">
        <v>45595.436412037037</v>
      </c>
      <c r="N24" t="s">
        <v>68</v>
      </c>
      <c r="O24" t="s">
        <v>5</v>
      </c>
      <c r="P24" t="s">
        <v>154</v>
      </c>
      <c r="Q24">
        <v>0.26326317865590998</v>
      </c>
      <c r="R24">
        <v>90</v>
      </c>
      <c r="S24">
        <v>2</v>
      </c>
      <c r="X24" s="18">
        <v>45595.462337962963</v>
      </c>
      <c r="Y24" t="s">
        <v>68</v>
      </c>
      <c r="Z24" t="s">
        <v>5</v>
      </c>
      <c r="AA24" t="s">
        <v>155</v>
      </c>
      <c r="AB24">
        <v>0.23754280814697401</v>
      </c>
      <c r="AC24">
        <v>90</v>
      </c>
      <c r="AD24">
        <v>2</v>
      </c>
      <c r="AI24" s="18">
        <v>45595.481423611112</v>
      </c>
      <c r="AJ24" t="s">
        <v>68</v>
      </c>
      <c r="AK24" t="s">
        <v>5</v>
      </c>
      <c r="AL24" t="s">
        <v>156</v>
      </c>
      <c r="AM24">
        <v>0.21470862757753201</v>
      </c>
      <c r="AN24">
        <v>90</v>
      </c>
      <c r="AO24">
        <v>2</v>
      </c>
    </row>
    <row r="25" spans="1:41">
      <c r="A25" s="14">
        <v>45595.408576388887</v>
      </c>
      <c r="B25" t="s">
        <v>68</v>
      </c>
      <c r="C25" t="s">
        <v>5</v>
      </c>
      <c r="D25" t="s">
        <v>157</v>
      </c>
      <c r="E25">
        <v>0.30666180666376103</v>
      </c>
      <c r="F25">
        <v>90</v>
      </c>
      <c r="G25">
        <v>2</v>
      </c>
      <c r="M25" s="14">
        <v>45595.436469907407</v>
      </c>
      <c r="N25" t="s">
        <v>68</v>
      </c>
      <c r="O25" t="s">
        <v>5</v>
      </c>
      <c r="P25" t="s">
        <v>158</v>
      </c>
      <c r="Q25">
        <v>0.26229918364881699</v>
      </c>
      <c r="R25">
        <v>90</v>
      </c>
      <c r="S25">
        <v>2</v>
      </c>
      <c r="X25" s="18">
        <v>45595.462395833332</v>
      </c>
      <c r="Y25" t="s">
        <v>68</v>
      </c>
      <c r="Z25" t="s">
        <v>5</v>
      </c>
      <c r="AA25" t="s">
        <v>159</v>
      </c>
      <c r="AB25">
        <v>0.235624156344199</v>
      </c>
      <c r="AC25">
        <v>90</v>
      </c>
      <c r="AD25">
        <v>2</v>
      </c>
      <c r="AI25" s="18">
        <v>45595.481481481482</v>
      </c>
      <c r="AJ25" t="s">
        <v>68</v>
      </c>
      <c r="AK25" t="s">
        <v>5</v>
      </c>
      <c r="AL25" t="s">
        <v>160</v>
      </c>
      <c r="AM25">
        <v>0.21653446156710901</v>
      </c>
      <c r="AN25">
        <v>90</v>
      </c>
      <c r="AO25">
        <v>2</v>
      </c>
    </row>
    <row r="26" spans="1:41">
      <c r="A26" s="14">
        <v>45595.408634259256</v>
      </c>
      <c r="B26" t="s">
        <v>68</v>
      </c>
      <c r="C26" t="s">
        <v>5</v>
      </c>
      <c r="D26" t="s">
        <v>161</v>
      </c>
      <c r="E26">
        <v>0.30486058879453298</v>
      </c>
      <c r="F26">
        <v>90</v>
      </c>
      <c r="G26">
        <v>2</v>
      </c>
      <c r="M26" s="14">
        <v>45595.436527777776</v>
      </c>
      <c r="N26" t="s">
        <v>68</v>
      </c>
      <c r="O26" t="s">
        <v>5</v>
      </c>
      <c r="P26" t="s">
        <v>162</v>
      </c>
      <c r="Q26">
        <v>0.26333273869718499</v>
      </c>
      <c r="R26">
        <v>90</v>
      </c>
      <c r="S26">
        <v>2</v>
      </c>
      <c r="X26" s="18">
        <v>45595.462453703702</v>
      </c>
      <c r="Y26" t="s">
        <v>68</v>
      </c>
      <c r="Z26" t="s">
        <v>5</v>
      </c>
      <c r="AA26" t="s">
        <v>163</v>
      </c>
      <c r="AB26">
        <v>0.23625011233284399</v>
      </c>
      <c r="AC26">
        <v>90</v>
      </c>
      <c r="AD26">
        <v>2</v>
      </c>
      <c r="AI26" s="18">
        <v>45595.481539351851</v>
      </c>
      <c r="AJ26" t="s">
        <v>68</v>
      </c>
      <c r="AK26" t="s">
        <v>5</v>
      </c>
      <c r="AL26" t="s">
        <v>164</v>
      </c>
      <c r="AM26">
        <v>0.214097892702373</v>
      </c>
      <c r="AN26">
        <v>90</v>
      </c>
      <c r="AO26">
        <v>2</v>
      </c>
    </row>
    <row r="27" spans="1:41">
      <c r="A27" s="14">
        <v>45595.408692129633</v>
      </c>
      <c r="B27" t="s">
        <v>68</v>
      </c>
      <c r="C27" t="s">
        <v>5</v>
      </c>
      <c r="D27" t="s">
        <v>165</v>
      </c>
      <c r="E27">
        <v>0.30275319372205201</v>
      </c>
      <c r="F27">
        <v>90</v>
      </c>
      <c r="G27">
        <v>2</v>
      </c>
      <c r="M27" s="14">
        <v>45595.436585648145</v>
      </c>
      <c r="N27" t="s">
        <v>68</v>
      </c>
      <c r="O27" t="s">
        <v>5</v>
      </c>
      <c r="P27" t="s">
        <v>166</v>
      </c>
      <c r="Q27">
        <v>0.26680659541305801</v>
      </c>
      <c r="R27">
        <v>90</v>
      </c>
      <c r="S27">
        <v>2</v>
      </c>
      <c r="X27" s="18">
        <v>45595.462511574071</v>
      </c>
      <c r="Y27" t="s">
        <v>68</v>
      </c>
      <c r="Z27" t="s">
        <v>5</v>
      </c>
      <c r="AA27" t="s">
        <v>167</v>
      </c>
      <c r="AB27">
        <v>0.234154394913064</v>
      </c>
      <c r="AC27">
        <v>90</v>
      </c>
      <c r="AD27">
        <v>2</v>
      </c>
      <c r="AI27" s="18">
        <v>45595.48159722222</v>
      </c>
      <c r="AJ27" t="s">
        <v>68</v>
      </c>
      <c r="AK27" t="s">
        <v>5</v>
      </c>
      <c r="AL27" t="s">
        <v>168</v>
      </c>
      <c r="AM27">
        <v>0.21548485287552299</v>
      </c>
      <c r="AN27">
        <v>90</v>
      </c>
      <c r="AO27">
        <v>2</v>
      </c>
    </row>
    <row r="28" spans="1:41">
      <c r="A28" s="14">
        <v>45595.408750000002</v>
      </c>
      <c r="B28" t="s">
        <v>68</v>
      </c>
      <c r="C28" t="s">
        <v>5</v>
      </c>
      <c r="D28" t="s">
        <v>169</v>
      </c>
      <c r="E28">
        <v>0.30133969206058397</v>
      </c>
      <c r="F28">
        <v>90</v>
      </c>
      <c r="G28">
        <v>2</v>
      </c>
      <c r="M28" s="14">
        <v>45595.436643518522</v>
      </c>
      <c r="N28" t="s">
        <v>68</v>
      </c>
      <c r="O28" t="s">
        <v>5</v>
      </c>
      <c r="P28" t="s">
        <v>170</v>
      </c>
      <c r="Q28">
        <v>0.26191629743676798</v>
      </c>
      <c r="R28">
        <v>90</v>
      </c>
      <c r="S28">
        <v>2</v>
      </c>
      <c r="X28" s="18">
        <v>45595.462569444448</v>
      </c>
      <c r="Y28" t="s">
        <v>68</v>
      </c>
      <c r="Z28" t="s">
        <v>5</v>
      </c>
      <c r="AA28" t="s">
        <v>171</v>
      </c>
      <c r="AB28">
        <v>0.23670016747290601</v>
      </c>
      <c r="AC28">
        <v>90</v>
      </c>
      <c r="AD28">
        <v>2</v>
      </c>
      <c r="AI28" s="18">
        <v>45595.48165509259</v>
      </c>
      <c r="AJ28" t="s">
        <v>68</v>
      </c>
      <c r="AK28" t="s">
        <v>5</v>
      </c>
      <c r="AL28" t="s">
        <v>172</v>
      </c>
      <c r="AM28">
        <v>0.21477840910446699</v>
      </c>
      <c r="AN28">
        <v>90</v>
      </c>
      <c r="AO28">
        <v>2</v>
      </c>
    </row>
    <row r="29" spans="1:41">
      <c r="A29" s="14">
        <v>45595.408807870372</v>
      </c>
      <c r="B29" t="s">
        <v>68</v>
      </c>
      <c r="C29" t="s">
        <v>5</v>
      </c>
      <c r="D29" t="s">
        <v>173</v>
      </c>
      <c r="E29">
        <v>0.30530045211016799</v>
      </c>
      <c r="F29">
        <v>90</v>
      </c>
      <c r="G29">
        <v>2</v>
      </c>
      <c r="M29" s="14">
        <v>45595.436701388891</v>
      </c>
      <c r="N29" t="s">
        <v>68</v>
      </c>
      <c r="O29" t="s">
        <v>5</v>
      </c>
      <c r="P29" t="s">
        <v>174</v>
      </c>
      <c r="Q29">
        <v>0.258798196509332</v>
      </c>
      <c r="R29">
        <v>90</v>
      </c>
      <c r="S29">
        <v>2</v>
      </c>
      <c r="X29" s="18">
        <v>45595.462627314817</v>
      </c>
      <c r="Y29" t="s">
        <v>68</v>
      </c>
      <c r="Z29" t="s">
        <v>5</v>
      </c>
      <c r="AA29" t="s">
        <v>175</v>
      </c>
      <c r="AB29">
        <v>0.236642454600869</v>
      </c>
      <c r="AC29">
        <v>90</v>
      </c>
      <c r="AD29">
        <v>2</v>
      </c>
      <c r="AI29" s="18">
        <v>45595.481712962966</v>
      </c>
      <c r="AJ29" t="s">
        <v>68</v>
      </c>
      <c r="AK29" t="s">
        <v>5</v>
      </c>
      <c r="AL29" t="s">
        <v>176</v>
      </c>
      <c r="AM29">
        <v>0.21709542352359101</v>
      </c>
      <c r="AN29">
        <v>90</v>
      </c>
      <c r="AO29">
        <v>2</v>
      </c>
    </row>
    <row r="30" spans="1:41">
      <c r="A30" s="14">
        <v>45595.409131944441</v>
      </c>
      <c r="B30" t="s">
        <v>68</v>
      </c>
      <c r="C30" t="s">
        <v>7</v>
      </c>
      <c r="D30" t="s">
        <v>177</v>
      </c>
      <c r="E30">
        <v>0.19372475569205699</v>
      </c>
      <c r="F30">
        <v>90</v>
      </c>
      <c r="G30">
        <v>2</v>
      </c>
      <c r="M30" s="14">
        <v>45595.436759259261</v>
      </c>
      <c r="N30" t="s">
        <v>68</v>
      </c>
      <c r="O30" t="s">
        <v>5</v>
      </c>
      <c r="P30" t="s">
        <v>178</v>
      </c>
      <c r="Q30">
        <v>0.26163383247824301</v>
      </c>
      <c r="R30">
        <v>90</v>
      </c>
      <c r="S30">
        <v>2</v>
      </c>
      <c r="X30" s="18">
        <v>45595.462685185186</v>
      </c>
      <c r="Y30" t="s">
        <v>68</v>
      </c>
      <c r="Z30" t="s">
        <v>5</v>
      </c>
      <c r="AA30" t="s">
        <v>179</v>
      </c>
      <c r="AB30">
        <v>0.23859230743089599</v>
      </c>
      <c r="AC30">
        <v>90</v>
      </c>
      <c r="AD30">
        <v>2</v>
      </c>
      <c r="AI30" s="18">
        <v>45595.481770833336</v>
      </c>
      <c r="AJ30" t="s">
        <v>68</v>
      </c>
      <c r="AK30" t="s">
        <v>5</v>
      </c>
      <c r="AL30" t="s">
        <v>180</v>
      </c>
      <c r="AM30">
        <v>0.213969186358972</v>
      </c>
      <c r="AN30">
        <v>90</v>
      </c>
      <c r="AO30">
        <v>2</v>
      </c>
    </row>
    <row r="31" spans="1:41">
      <c r="A31" s="14">
        <v>45595.409189814818</v>
      </c>
      <c r="B31" t="s">
        <v>68</v>
      </c>
      <c r="C31" t="s">
        <v>7</v>
      </c>
      <c r="D31" t="s">
        <v>181</v>
      </c>
      <c r="E31">
        <v>0.18892601881613</v>
      </c>
      <c r="F31">
        <v>90</v>
      </c>
      <c r="G31">
        <v>2</v>
      </c>
      <c r="M31" s="14">
        <v>45595.43681712963</v>
      </c>
      <c r="N31" t="s">
        <v>68</v>
      </c>
      <c r="O31" t="s">
        <v>5</v>
      </c>
      <c r="P31" t="s">
        <v>182</v>
      </c>
      <c r="Q31">
        <v>0.25824474392729002</v>
      </c>
      <c r="R31">
        <v>90</v>
      </c>
      <c r="S31">
        <v>2</v>
      </c>
      <c r="X31" s="18">
        <v>45595.462743055556</v>
      </c>
      <c r="Y31" t="s">
        <v>68</v>
      </c>
      <c r="Z31" t="s">
        <v>5</v>
      </c>
      <c r="AA31" t="s">
        <v>183</v>
      </c>
      <c r="AB31">
        <v>0.237045613672447</v>
      </c>
      <c r="AC31">
        <v>90</v>
      </c>
      <c r="AD31">
        <v>2</v>
      </c>
      <c r="AI31" s="18">
        <v>45595.481828703705</v>
      </c>
      <c r="AJ31" t="s">
        <v>68</v>
      </c>
      <c r="AK31" t="s">
        <v>5</v>
      </c>
      <c r="AL31" t="s">
        <v>184</v>
      </c>
      <c r="AM31">
        <v>0.213155449472405</v>
      </c>
      <c r="AN31">
        <v>90</v>
      </c>
      <c r="AO31">
        <v>2</v>
      </c>
    </row>
    <row r="32" spans="1:41">
      <c r="A32" s="14">
        <v>45595.409247685187</v>
      </c>
      <c r="B32" t="s">
        <v>68</v>
      </c>
      <c r="C32" t="s">
        <v>7</v>
      </c>
      <c r="D32" t="s">
        <v>185</v>
      </c>
      <c r="E32">
        <v>0.191077571930277</v>
      </c>
      <c r="F32">
        <v>90</v>
      </c>
      <c r="G32">
        <v>2</v>
      </c>
      <c r="M32" s="14">
        <v>45595.436874999999</v>
      </c>
      <c r="N32" t="s">
        <v>68</v>
      </c>
      <c r="O32" t="s">
        <v>5</v>
      </c>
      <c r="P32" t="s">
        <v>186</v>
      </c>
      <c r="Q32">
        <v>0.26613098288562298</v>
      </c>
      <c r="R32">
        <v>90</v>
      </c>
      <c r="S32">
        <v>2</v>
      </c>
      <c r="X32" s="18">
        <v>45595.462800925925</v>
      </c>
      <c r="Y32" t="s">
        <v>68</v>
      </c>
      <c r="Z32" t="s">
        <v>5</v>
      </c>
      <c r="AA32" t="s">
        <v>187</v>
      </c>
      <c r="AB32">
        <v>0.237913816663648</v>
      </c>
      <c r="AC32">
        <v>90</v>
      </c>
      <c r="AD32">
        <v>2</v>
      </c>
      <c r="AI32" s="18">
        <v>45595.481886574074</v>
      </c>
      <c r="AJ32" t="s">
        <v>68</v>
      </c>
      <c r="AK32" t="s">
        <v>5</v>
      </c>
      <c r="AL32" t="s">
        <v>188</v>
      </c>
      <c r="AM32">
        <v>0.21730377130301901</v>
      </c>
      <c r="AN32">
        <v>90</v>
      </c>
      <c r="AO32">
        <v>2</v>
      </c>
    </row>
    <row r="33" spans="1:41">
      <c r="A33" s="14">
        <v>45595.409305555557</v>
      </c>
      <c r="B33" t="s">
        <v>68</v>
      </c>
      <c r="C33" t="s">
        <v>7</v>
      </c>
      <c r="D33" t="s">
        <v>189</v>
      </c>
      <c r="E33">
        <v>0.19034366728928601</v>
      </c>
      <c r="F33">
        <v>90</v>
      </c>
      <c r="G33">
        <v>2</v>
      </c>
      <c r="M33" s="14">
        <v>45595.436932870369</v>
      </c>
      <c r="N33" t="s">
        <v>68</v>
      </c>
      <c r="O33" t="s">
        <v>5</v>
      </c>
      <c r="P33" t="s">
        <v>190</v>
      </c>
      <c r="Q33">
        <v>0.26286447127670698</v>
      </c>
      <c r="R33">
        <v>90</v>
      </c>
      <c r="S33">
        <v>2</v>
      </c>
      <c r="X33" s="18">
        <v>45595.462858796294</v>
      </c>
      <c r="Y33" t="s">
        <v>68</v>
      </c>
      <c r="Z33" t="s">
        <v>5</v>
      </c>
      <c r="AA33" t="s">
        <v>191</v>
      </c>
      <c r="AB33">
        <v>0.23794958095979399</v>
      </c>
      <c r="AC33">
        <v>90</v>
      </c>
      <c r="AD33">
        <v>2</v>
      </c>
      <c r="AI33" s="18">
        <v>45595.481944444444</v>
      </c>
      <c r="AJ33" t="s">
        <v>68</v>
      </c>
      <c r="AK33" t="s">
        <v>5</v>
      </c>
      <c r="AL33" t="s">
        <v>192</v>
      </c>
      <c r="AM33">
        <v>0.21391961217441999</v>
      </c>
      <c r="AN33">
        <v>90</v>
      </c>
      <c r="AO33">
        <v>2</v>
      </c>
    </row>
    <row r="34" spans="1:41">
      <c r="A34" s="14">
        <v>45595.409363425926</v>
      </c>
      <c r="B34" t="s">
        <v>68</v>
      </c>
      <c r="C34" t="s">
        <v>7</v>
      </c>
      <c r="D34" t="s">
        <v>193</v>
      </c>
      <c r="E34">
        <v>0.191747132549414</v>
      </c>
      <c r="F34">
        <v>90</v>
      </c>
      <c r="G34">
        <v>2</v>
      </c>
      <c r="M34" s="14">
        <v>45595.436990740738</v>
      </c>
      <c r="N34" t="s">
        <v>68</v>
      </c>
      <c r="O34" t="s">
        <v>5</v>
      </c>
      <c r="P34" t="s">
        <v>194</v>
      </c>
      <c r="Q34">
        <v>0.26337116529444599</v>
      </c>
      <c r="R34">
        <v>90</v>
      </c>
      <c r="S34">
        <v>2</v>
      </c>
      <c r="X34" s="18">
        <v>45595.462916666664</v>
      </c>
      <c r="Y34" t="s">
        <v>68</v>
      </c>
      <c r="Z34" t="s">
        <v>5</v>
      </c>
      <c r="AA34" t="s">
        <v>195</v>
      </c>
      <c r="AB34">
        <v>0.23915699120675299</v>
      </c>
      <c r="AC34">
        <v>90</v>
      </c>
      <c r="AD34">
        <v>2</v>
      </c>
      <c r="AI34" s="18">
        <v>45595.482002314813</v>
      </c>
      <c r="AJ34" t="s">
        <v>68</v>
      </c>
      <c r="AK34" t="s">
        <v>5</v>
      </c>
      <c r="AL34" t="s">
        <v>196</v>
      </c>
      <c r="AM34">
        <v>0.213806393853049</v>
      </c>
      <c r="AN34">
        <v>90</v>
      </c>
      <c r="AO34">
        <v>2</v>
      </c>
    </row>
    <row r="35" spans="1:41">
      <c r="A35" s="14">
        <v>45595.409421296295</v>
      </c>
      <c r="B35" t="s">
        <v>68</v>
      </c>
      <c r="C35" t="s">
        <v>7</v>
      </c>
      <c r="D35" t="s">
        <v>197</v>
      </c>
      <c r="E35">
        <v>0.18994308009227401</v>
      </c>
      <c r="F35">
        <v>90</v>
      </c>
      <c r="G35">
        <v>2</v>
      </c>
      <c r="M35" s="14">
        <v>45595.437048611115</v>
      </c>
      <c r="N35" t="s">
        <v>68</v>
      </c>
      <c r="O35" t="s">
        <v>5</v>
      </c>
      <c r="P35" t="s">
        <v>198</v>
      </c>
      <c r="Q35">
        <v>0.26014705051166298</v>
      </c>
      <c r="R35">
        <v>90</v>
      </c>
      <c r="S35">
        <v>2</v>
      </c>
      <c r="X35" s="18">
        <v>45595.46297453704</v>
      </c>
      <c r="Y35" t="s">
        <v>68</v>
      </c>
      <c r="Z35" t="s">
        <v>5</v>
      </c>
      <c r="AA35" t="s">
        <v>199</v>
      </c>
      <c r="AB35">
        <v>0.23838067359387</v>
      </c>
      <c r="AC35">
        <v>90</v>
      </c>
      <c r="AD35">
        <v>2</v>
      </c>
      <c r="AI35" s="18">
        <v>45595.482060185182</v>
      </c>
      <c r="AJ35" t="s">
        <v>68</v>
      </c>
      <c r="AK35" t="s">
        <v>5</v>
      </c>
      <c r="AL35" t="s">
        <v>200</v>
      </c>
      <c r="AM35">
        <v>0.21786724843506999</v>
      </c>
      <c r="AN35">
        <v>90</v>
      </c>
      <c r="AO35">
        <v>2</v>
      </c>
    </row>
    <row r="36" spans="1:41">
      <c r="A36" s="14">
        <v>45595.409479166665</v>
      </c>
      <c r="B36" t="s">
        <v>68</v>
      </c>
      <c r="C36" t="s">
        <v>7</v>
      </c>
      <c r="D36" t="s">
        <v>201</v>
      </c>
      <c r="E36">
        <v>0.188724514476629</v>
      </c>
      <c r="F36">
        <v>90</v>
      </c>
      <c r="G36">
        <v>2</v>
      </c>
      <c r="M36" s="14">
        <v>45595.437337962961</v>
      </c>
      <c r="N36" t="s">
        <v>68</v>
      </c>
      <c r="O36" t="s">
        <v>7</v>
      </c>
      <c r="P36" t="s">
        <v>202</v>
      </c>
      <c r="Q36">
        <v>0.171835491849744</v>
      </c>
      <c r="R36">
        <v>90</v>
      </c>
      <c r="S36">
        <v>2</v>
      </c>
      <c r="X36" s="18">
        <v>45595.46303240741</v>
      </c>
      <c r="Y36" t="s">
        <v>68</v>
      </c>
      <c r="Z36" t="s">
        <v>5</v>
      </c>
      <c r="AA36" t="s">
        <v>203</v>
      </c>
      <c r="AB36">
        <v>0.24013002933387401</v>
      </c>
      <c r="AC36">
        <v>90</v>
      </c>
      <c r="AD36">
        <v>2</v>
      </c>
      <c r="AI36" s="18">
        <v>45595.482118055559</v>
      </c>
      <c r="AJ36" t="s">
        <v>68</v>
      </c>
      <c r="AK36" t="s">
        <v>5</v>
      </c>
      <c r="AL36" t="s">
        <v>204</v>
      </c>
      <c r="AM36">
        <v>0.21639590805835901</v>
      </c>
      <c r="AN36">
        <v>90</v>
      </c>
      <c r="AO36">
        <v>2</v>
      </c>
    </row>
    <row r="37" spans="1:41">
      <c r="A37" s="14">
        <v>45595.409537037034</v>
      </c>
      <c r="B37" t="s">
        <v>68</v>
      </c>
      <c r="C37" t="s">
        <v>7</v>
      </c>
      <c r="D37" t="s">
        <v>205</v>
      </c>
      <c r="E37">
        <v>0.191394605881372</v>
      </c>
      <c r="F37">
        <v>90</v>
      </c>
      <c r="G37">
        <v>2</v>
      </c>
      <c r="M37" s="14">
        <v>45595.437395833331</v>
      </c>
      <c r="N37" t="s">
        <v>68</v>
      </c>
      <c r="O37" t="s">
        <v>7</v>
      </c>
      <c r="P37" t="s">
        <v>206</v>
      </c>
      <c r="Q37">
        <v>0.16555128569969299</v>
      </c>
      <c r="R37">
        <v>90</v>
      </c>
      <c r="S37">
        <v>2</v>
      </c>
      <c r="X37" s="18">
        <v>45595.463090277779</v>
      </c>
      <c r="Y37" t="s">
        <v>68</v>
      </c>
      <c r="Z37" t="s">
        <v>5</v>
      </c>
      <c r="AA37" t="s">
        <v>207</v>
      </c>
      <c r="AB37">
        <v>0.23879381708960901</v>
      </c>
      <c r="AC37">
        <v>90</v>
      </c>
      <c r="AD37">
        <v>2</v>
      </c>
      <c r="AI37" s="18">
        <v>45595.482175925928</v>
      </c>
      <c r="AJ37" t="s">
        <v>68</v>
      </c>
      <c r="AK37" t="s">
        <v>5</v>
      </c>
      <c r="AL37" t="s">
        <v>208</v>
      </c>
      <c r="AM37">
        <v>0.21340430321412099</v>
      </c>
      <c r="AN37">
        <v>90</v>
      </c>
      <c r="AO37">
        <v>2</v>
      </c>
    </row>
    <row r="38" spans="1:41">
      <c r="A38" s="14">
        <v>45595.409594907411</v>
      </c>
      <c r="B38" t="s">
        <v>68</v>
      </c>
      <c r="C38" t="s">
        <v>7</v>
      </c>
      <c r="D38" t="s">
        <v>209</v>
      </c>
      <c r="E38">
        <v>0.18936743532143599</v>
      </c>
      <c r="F38">
        <v>90</v>
      </c>
      <c r="G38">
        <v>2</v>
      </c>
      <c r="M38" s="14">
        <v>45595.4374537037</v>
      </c>
      <c r="N38" t="s">
        <v>68</v>
      </c>
      <c r="O38" t="s">
        <v>7</v>
      </c>
      <c r="P38" t="s">
        <v>210</v>
      </c>
      <c r="Q38">
        <v>0.16212160272651999</v>
      </c>
      <c r="R38">
        <v>90</v>
      </c>
      <c r="S38">
        <v>2</v>
      </c>
      <c r="X38" s="18">
        <v>45595.463148148148</v>
      </c>
      <c r="Y38" t="s">
        <v>68</v>
      </c>
      <c r="Z38" t="s">
        <v>5</v>
      </c>
      <c r="AA38" t="s">
        <v>211</v>
      </c>
      <c r="AB38">
        <v>0.23960491323281699</v>
      </c>
      <c r="AC38">
        <v>90</v>
      </c>
      <c r="AD38">
        <v>2</v>
      </c>
      <c r="AI38" s="18">
        <v>45595.482233796298</v>
      </c>
      <c r="AJ38" t="s">
        <v>68</v>
      </c>
      <c r="AK38" t="s">
        <v>5</v>
      </c>
      <c r="AL38" t="s">
        <v>212</v>
      </c>
      <c r="AM38">
        <v>0.21500896772414399</v>
      </c>
      <c r="AN38">
        <v>90</v>
      </c>
      <c r="AO38">
        <v>2</v>
      </c>
    </row>
    <row r="39" spans="1:41">
      <c r="A39" s="14">
        <v>45595.40965277778</v>
      </c>
      <c r="B39" t="s">
        <v>68</v>
      </c>
      <c r="C39" t="s">
        <v>7</v>
      </c>
      <c r="D39" t="s">
        <v>213</v>
      </c>
      <c r="E39">
        <v>0.19034225409457201</v>
      </c>
      <c r="F39">
        <v>90</v>
      </c>
      <c r="G39">
        <v>2</v>
      </c>
      <c r="M39" s="14">
        <v>45595.437511574077</v>
      </c>
      <c r="N39" t="s">
        <v>68</v>
      </c>
      <c r="O39" t="s">
        <v>7</v>
      </c>
      <c r="P39" t="s">
        <v>214</v>
      </c>
      <c r="Q39">
        <v>0.16508409923998699</v>
      </c>
      <c r="R39">
        <v>90</v>
      </c>
      <c r="S39">
        <v>2</v>
      </c>
      <c r="X39" s="18">
        <v>45595.463206018518</v>
      </c>
      <c r="Y39" t="s">
        <v>68</v>
      </c>
      <c r="Z39" t="s">
        <v>5</v>
      </c>
      <c r="AA39" t="s">
        <v>215</v>
      </c>
      <c r="AB39">
        <v>0.23899849283221</v>
      </c>
      <c r="AC39">
        <v>90</v>
      </c>
      <c r="AD39">
        <v>2</v>
      </c>
      <c r="AI39" s="18">
        <v>45595.482291666667</v>
      </c>
      <c r="AJ39" t="s">
        <v>68</v>
      </c>
      <c r="AK39" t="s">
        <v>5</v>
      </c>
      <c r="AL39" t="s">
        <v>216</v>
      </c>
      <c r="AM39">
        <v>0.21603650524382501</v>
      </c>
      <c r="AN39">
        <v>90</v>
      </c>
      <c r="AO39">
        <v>2</v>
      </c>
    </row>
    <row r="40" spans="1:41">
      <c r="A40" s="14">
        <v>45595.409710648149</v>
      </c>
      <c r="B40" t="s">
        <v>68</v>
      </c>
      <c r="C40" t="s">
        <v>7</v>
      </c>
      <c r="D40" t="s">
        <v>217</v>
      </c>
      <c r="E40">
        <v>0.19053451334871299</v>
      </c>
      <c r="F40">
        <v>90</v>
      </c>
      <c r="G40">
        <v>2</v>
      </c>
      <c r="M40" s="14">
        <v>45595.437569444446</v>
      </c>
      <c r="N40" t="s">
        <v>68</v>
      </c>
      <c r="O40" t="s">
        <v>7</v>
      </c>
      <c r="P40" t="s">
        <v>218</v>
      </c>
      <c r="Q40">
        <v>0.16450217674859999</v>
      </c>
      <c r="R40">
        <v>90</v>
      </c>
      <c r="S40">
        <v>2</v>
      </c>
      <c r="X40" s="18">
        <v>45595.463263888887</v>
      </c>
      <c r="Y40" t="s">
        <v>68</v>
      </c>
      <c r="Z40" t="s">
        <v>5</v>
      </c>
      <c r="AA40" t="s">
        <v>219</v>
      </c>
      <c r="AB40">
        <v>0.23984460962048401</v>
      </c>
      <c r="AC40">
        <v>90</v>
      </c>
      <c r="AD40">
        <v>2</v>
      </c>
      <c r="AI40" s="18">
        <v>45595.482523148145</v>
      </c>
      <c r="AJ40" t="s">
        <v>68</v>
      </c>
      <c r="AK40" t="s">
        <v>7</v>
      </c>
      <c r="AL40" t="s">
        <v>220</v>
      </c>
      <c r="AM40">
        <v>0.13360970804512401</v>
      </c>
      <c r="AN40">
        <v>90</v>
      </c>
      <c r="AO40">
        <v>2</v>
      </c>
    </row>
    <row r="41" spans="1:41">
      <c r="A41" s="14">
        <v>45595.409768518519</v>
      </c>
      <c r="B41" t="s">
        <v>68</v>
      </c>
      <c r="C41" t="s">
        <v>7</v>
      </c>
      <c r="D41" t="s">
        <v>221</v>
      </c>
      <c r="E41">
        <v>0.187063446765452</v>
      </c>
      <c r="F41">
        <v>90</v>
      </c>
      <c r="G41">
        <v>2</v>
      </c>
      <c r="M41" s="14">
        <v>45595.437627314815</v>
      </c>
      <c r="N41" t="s">
        <v>68</v>
      </c>
      <c r="O41" t="s">
        <v>7</v>
      </c>
      <c r="P41" t="s">
        <v>222</v>
      </c>
      <c r="Q41">
        <v>0.16430038231267199</v>
      </c>
      <c r="R41">
        <v>90</v>
      </c>
      <c r="S41">
        <v>2</v>
      </c>
      <c r="X41" s="18">
        <v>45595.463321759256</v>
      </c>
      <c r="Y41" t="s">
        <v>68</v>
      </c>
      <c r="Z41" t="s">
        <v>5</v>
      </c>
      <c r="AA41" t="s">
        <v>223</v>
      </c>
      <c r="AB41">
        <v>0.238632921793795</v>
      </c>
      <c r="AC41">
        <v>90</v>
      </c>
      <c r="AD41">
        <v>2</v>
      </c>
      <c r="AI41" s="18">
        <v>45595.482581018521</v>
      </c>
      <c r="AJ41" t="s">
        <v>68</v>
      </c>
      <c r="AK41" t="s">
        <v>7</v>
      </c>
      <c r="AL41" t="s">
        <v>224</v>
      </c>
      <c r="AM41">
        <v>0.13290639019276501</v>
      </c>
      <c r="AN41">
        <v>90</v>
      </c>
      <c r="AO41">
        <v>2</v>
      </c>
    </row>
    <row r="42" spans="1:41">
      <c r="A42" s="14">
        <v>45595.409826388888</v>
      </c>
      <c r="B42" t="s">
        <v>68</v>
      </c>
      <c r="C42" t="s">
        <v>7</v>
      </c>
      <c r="D42" t="s">
        <v>225</v>
      </c>
      <c r="E42">
        <v>0.18684362360787199</v>
      </c>
      <c r="F42">
        <v>90</v>
      </c>
      <c r="G42">
        <v>2</v>
      </c>
      <c r="M42" s="14">
        <v>45595.437685185185</v>
      </c>
      <c r="N42" t="s">
        <v>68</v>
      </c>
      <c r="O42" t="s">
        <v>7</v>
      </c>
      <c r="P42" t="s">
        <v>226</v>
      </c>
      <c r="Q42">
        <v>0.16220672540336201</v>
      </c>
      <c r="R42">
        <v>90</v>
      </c>
      <c r="S42">
        <v>2</v>
      </c>
      <c r="X42" s="18">
        <v>45595.463379629633</v>
      </c>
      <c r="Y42" t="s">
        <v>68</v>
      </c>
      <c r="Z42" t="s">
        <v>5</v>
      </c>
      <c r="AA42" t="s">
        <v>227</v>
      </c>
      <c r="AB42">
        <v>0.24093273322975001</v>
      </c>
      <c r="AC42">
        <v>90</v>
      </c>
      <c r="AD42">
        <v>2</v>
      </c>
      <c r="AI42" s="18">
        <v>45595.482638888891</v>
      </c>
      <c r="AJ42" t="s">
        <v>68</v>
      </c>
      <c r="AK42" t="s">
        <v>7</v>
      </c>
      <c r="AL42" t="s">
        <v>228</v>
      </c>
      <c r="AM42">
        <v>0.13402751986203801</v>
      </c>
      <c r="AN42">
        <v>90</v>
      </c>
      <c r="AO42">
        <v>2</v>
      </c>
    </row>
    <row r="43" spans="1:41">
      <c r="A43" s="14">
        <v>45595.409884259258</v>
      </c>
      <c r="B43" t="s">
        <v>68</v>
      </c>
      <c r="C43" t="s">
        <v>7</v>
      </c>
      <c r="D43" t="s">
        <v>229</v>
      </c>
      <c r="E43">
        <v>0.190577553999489</v>
      </c>
      <c r="F43">
        <v>90</v>
      </c>
      <c r="G43">
        <v>2</v>
      </c>
      <c r="M43" s="14">
        <v>45595.437743055554</v>
      </c>
      <c r="N43" t="s">
        <v>68</v>
      </c>
      <c r="O43" t="s">
        <v>7</v>
      </c>
      <c r="P43" t="s">
        <v>230</v>
      </c>
      <c r="Q43">
        <v>0.16230227159593699</v>
      </c>
      <c r="R43">
        <v>90</v>
      </c>
      <c r="S43">
        <v>2</v>
      </c>
      <c r="X43" s="18">
        <v>45595.463437500002</v>
      </c>
      <c r="Y43" t="s">
        <v>68</v>
      </c>
      <c r="Z43" t="s">
        <v>5</v>
      </c>
      <c r="AA43" t="s">
        <v>231</v>
      </c>
      <c r="AB43">
        <v>0.23533815690746901</v>
      </c>
      <c r="AC43">
        <v>90</v>
      </c>
      <c r="AD43">
        <v>2</v>
      </c>
      <c r="AI43" s="18">
        <v>45595.48269675926</v>
      </c>
      <c r="AJ43" t="s">
        <v>68</v>
      </c>
      <c r="AK43" t="s">
        <v>7</v>
      </c>
      <c r="AL43" t="s">
        <v>232</v>
      </c>
      <c r="AM43">
        <v>0.13097663543977001</v>
      </c>
      <c r="AN43">
        <v>90</v>
      </c>
      <c r="AO43">
        <v>2</v>
      </c>
    </row>
    <row r="44" spans="1:41">
      <c r="A44" s="14">
        <v>45595.409942129627</v>
      </c>
      <c r="B44" t="s">
        <v>68</v>
      </c>
      <c r="C44" t="s">
        <v>7</v>
      </c>
      <c r="D44" t="s">
        <v>233</v>
      </c>
      <c r="E44">
        <v>0.187361468069427</v>
      </c>
      <c r="F44">
        <v>90</v>
      </c>
      <c r="G44">
        <v>2</v>
      </c>
      <c r="M44" s="14">
        <v>45595.437800925924</v>
      </c>
      <c r="N44" t="s">
        <v>68</v>
      </c>
      <c r="O44" t="s">
        <v>7</v>
      </c>
      <c r="P44" t="s">
        <v>234</v>
      </c>
      <c r="Q44">
        <v>0.16401159756294501</v>
      </c>
      <c r="R44">
        <v>90</v>
      </c>
      <c r="S44">
        <v>2</v>
      </c>
      <c r="X44" s="18">
        <v>45595.463495370372</v>
      </c>
      <c r="Y44" t="s">
        <v>68</v>
      </c>
      <c r="Z44" t="s">
        <v>5</v>
      </c>
      <c r="AA44" t="s">
        <v>235</v>
      </c>
      <c r="AB44">
        <v>0.24058010145167499</v>
      </c>
      <c r="AC44">
        <v>90</v>
      </c>
      <c r="AD44">
        <v>2</v>
      </c>
      <c r="AI44" s="18">
        <v>45595.482754629629</v>
      </c>
      <c r="AJ44" t="s">
        <v>68</v>
      </c>
      <c r="AK44" t="s">
        <v>7</v>
      </c>
      <c r="AL44" t="s">
        <v>236</v>
      </c>
      <c r="AM44">
        <v>0.13040659673795901</v>
      </c>
      <c r="AN44">
        <v>90</v>
      </c>
      <c r="AO44">
        <v>2</v>
      </c>
    </row>
    <row r="45" spans="1:41">
      <c r="A45" s="14">
        <v>45595.41</v>
      </c>
      <c r="B45" t="s">
        <v>68</v>
      </c>
      <c r="C45" t="s">
        <v>7</v>
      </c>
      <c r="D45" t="s">
        <v>237</v>
      </c>
      <c r="E45">
        <v>0.19001295862852599</v>
      </c>
      <c r="F45">
        <v>90</v>
      </c>
      <c r="G45">
        <v>2</v>
      </c>
      <c r="M45" s="14">
        <v>45595.437858796293</v>
      </c>
      <c r="N45" t="s">
        <v>68</v>
      </c>
      <c r="O45" t="s">
        <v>7</v>
      </c>
      <c r="P45" t="s">
        <v>238</v>
      </c>
      <c r="Q45">
        <v>0.16552683081650499</v>
      </c>
      <c r="R45">
        <v>90</v>
      </c>
      <c r="S45">
        <v>2</v>
      </c>
      <c r="X45" s="18">
        <v>45595.463553240741</v>
      </c>
      <c r="Y45" t="s">
        <v>68</v>
      </c>
      <c r="Z45" t="s">
        <v>5</v>
      </c>
      <c r="AA45" t="s">
        <v>239</v>
      </c>
      <c r="AB45">
        <v>0.240430150326395</v>
      </c>
      <c r="AC45">
        <v>90</v>
      </c>
      <c r="AD45">
        <v>2</v>
      </c>
      <c r="AI45" s="18">
        <v>45595.482812499999</v>
      </c>
      <c r="AJ45" t="s">
        <v>68</v>
      </c>
      <c r="AK45" t="s">
        <v>7</v>
      </c>
      <c r="AL45" t="s">
        <v>240</v>
      </c>
      <c r="AM45">
        <v>0.130724075677809</v>
      </c>
      <c r="AN45">
        <v>90</v>
      </c>
      <c r="AO45">
        <v>2</v>
      </c>
    </row>
    <row r="46" spans="1:41">
      <c r="A46" s="14">
        <v>45595.410057870373</v>
      </c>
      <c r="B46" t="s">
        <v>68</v>
      </c>
      <c r="C46" t="s">
        <v>7</v>
      </c>
      <c r="D46" t="s">
        <v>241</v>
      </c>
      <c r="E46">
        <v>0.187924421024358</v>
      </c>
      <c r="F46">
        <v>90</v>
      </c>
      <c r="G46">
        <v>2</v>
      </c>
      <c r="M46" s="14">
        <v>45595.437916666669</v>
      </c>
      <c r="N46" t="s">
        <v>68</v>
      </c>
      <c r="O46" t="s">
        <v>7</v>
      </c>
      <c r="P46" t="s">
        <v>242</v>
      </c>
      <c r="Q46">
        <v>0.165576600768361</v>
      </c>
      <c r="R46">
        <v>90</v>
      </c>
      <c r="S46">
        <v>2</v>
      </c>
      <c r="X46" s="18">
        <v>45595.46361111111</v>
      </c>
      <c r="Y46" t="s">
        <v>68</v>
      </c>
      <c r="Z46" t="s">
        <v>5</v>
      </c>
      <c r="AA46" t="s">
        <v>243</v>
      </c>
      <c r="AB46">
        <v>0.237560181173221</v>
      </c>
      <c r="AC46">
        <v>90</v>
      </c>
      <c r="AD46">
        <v>2</v>
      </c>
      <c r="AI46" s="18">
        <v>45595.482870370368</v>
      </c>
      <c r="AJ46" t="s">
        <v>68</v>
      </c>
      <c r="AK46" t="s">
        <v>7</v>
      </c>
      <c r="AL46" t="s">
        <v>244</v>
      </c>
      <c r="AM46">
        <v>0.13026530914121701</v>
      </c>
      <c r="AN46">
        <v>90</v>
      </c>
      <c r="AO46">
        <v>2</v>
      </c>
    </row>
    <row r="47" spans="1:41">
      <c r="A47" s="14">
        <v>45595.410115740742</v>
      </c>
      <c r="B47" t="s">
        <v>68</v>
      </c>
      <c r="C47" t="s">
        <v>7</v>
      </c>
      <c r="D47" t="s">
        <v>245</v>
      </c>
      <c r="E47">
        <v>0.19129877135175999</v>
      </c>
      <c r="F47">
        <v>90</v>
      </c>
      <c r="G47">
        <v>2</v>
      </c>
      <c r="M47" s="14">
        <v>45595.437974537039</v>
      </c>
      <c r="N47" t="s">
        <v>68</v>
      </c>
      <c r="O47" t="s">
        <v>7</v>
      </c>
      <c r="P47" t="s">
        <v>246</v>
      </c>
      <c r="Q47">
        <v>0.16418131458082599</v>
      </c>
      <c r="R47">
        <v>90</v>
      </c>
      <c r="S47">
        <v>2</v>
      </c>
      <c r="X47" s="18">
        <v>45595.46366898148</v>
      </c>
      <c r="Y47" t="s">
        <v>68</v>
      </c>
      <c r="Z47" t="s">
        <v>5</v>
      </c>
      <c r="AA47" t="s">
        <v>247</v>
      </c>
      <c r="AB47">
        <v>0.23988614737849701</v>
      </c>
      <c r="AC47">
        <v>90</v>
      </c>
      <c r="AD47">
        <v>2</v>
      </c>
      <c r="AI47" s="18">
        <v>45595.482928240737</v>
      </c>
      <c r="AJ47" t="s">
        <v>68</v>
      </c>
      <c r="AK47" t="s">
        <v>7</v>
      </c>
      <c r="AL47" t="s">
        <v>248</v>
      </c>
      <c r="AM47">
        <v>0.13086397765385699</v>
      </c>
      <c r="AN47">
        <v>90</v>
      </c>
      <c r="AO47">
        <v>2</v>
      </c>
    </row>
    <row r="48" spans="1:41">
      <c r="A48" s="14">
        <v>45595.410173611112</v>
      </c>
      <c r="B48" t="s">
        <v>68</v>
      </c>
      <c r="C48" t="s">
        <v>7</v>
      </c>
      <c r="D48" t="s">
        <v>249</v>
      </c>
      <c r="E48">
        <v>0.18722352497457001</v>
      </c>
      <c r="F48">
        <v>90</v>
      </c>
      <c r="G48">
        <v>2</v>
      </c>
      <c r="M48" s="14">
        <v>45595.438032407408</v>
      </c>
      <c r="N48" t="s">
        <v>68</v>
      </c>
      <c r="O48" t="s">
        <v>7</v>
      </c>
      <c r="P48" t="s">
        <v>250</v>
      </c>
      <c r="Q48">
        <v>0.161886839855549</v>
      </c>
      <c r="R48">
        <v>90</v>
      </c>
      <c r="S48">
        <v>2</v>
      </c>
      <c r="X48" s="18">
        <v>45595.463726851849</v>
      </c>
      <c r="Y48" t="s">
        <v>68</v>
      </c>
      <c r="Z48" t="s">
        <v>5</v>
      </c>
      <c r="AA48" t="s">
        <v>251</v>
      </c>
      <c r="AB48">
        <v>0.23792183025351701</v>
      </c>
      <c r="AC48">
        <v>90</v>
      </c>
      <c r="AD48">
        <v>2</v>
      </c>
      <c r="AI48" s="18">
        <v>45595.482986111114</v>
      </c>
      <c r="AJ48" t="s">
        <v>68</v>
      </c>
      <c r="AK48" t="s">
        <v>7</v>
      </c>
      <c r="AL48" t="s">
        <v>252</v>
      </c>
      <c r="AM48">
        <v>0.13119618656139601</v>
      </c>
      <c r="AN48">
        <v>90</v>
      </c>
      <c r="AO48">
        <v>2</v>
      </c>
    </row>
    <row r="49" spans="1:41">
      <c r="A49" s="14">
        <v>45595.410231481481</v>
      </c>
      <c r="B49" t="s">
        <v>68</v>
      </c>
      <c r="C49" t="s">
        <v>7</v>
      </c>
      <c r="D49" t="s">
        <v>253</v>
      </c>
      <c r="E49">
        <v>0.18976522719087099</v>
      </c>
      <c r="F49">
        <v>90</v>
      </c>
      <c r="G49">
        <v>2</v>
      </c>
      <c r="M49" s="14">
        <v>45595.438090277778</v>
      </c>
      <c r="N49" t="s">
        <v>68</v>
      </c>
      <c r="O49" t="s">
        <v>7</v>
      </c>
      <c r="P49" t="s">
        <v>254</v>
      </c>
      <c r="Q49">
        <v>0.16277924478122599</v>
      </c>
      <c r="R49">
        <v>90</v>
      </c>
      <c r="S49">
        <v>2</v>
      </c>
      <c r="X49" s="18">
        <v>45595.463784722226</v>
      </c>
      <c r="Y49" t="s">
        <v>68</v>
      </c>
      <c r="Z49" t="s">
        <v>5</v>
      </c>
      <c r="AA49" t="s">
        <v>255</v>
      </c>
      <c r="AB49">
        <v>0.2376781434686</v>
      </c>
      <c r="AC49">
        <v>90</v>
      </c>
      <c r="AD49">
        <v>2</v>
      </c>
      <c r="AI49" s="18">
        <v>45595.483043981483</v>
      </c>
      <c r="AJ49" t="s">
        <v>68</v>
      </c>
      <c r="AK49" t="s">
        <v>7</v>
      </c>
      <c r="AL49" t="s">
        <v>256</v>
      </c>
      <c r="AM49">
        <v>0.129509293245295</v>
      </c>
      <c r="AN49">
        <v>90</v>
      </c>
      <c r="AO49">
        <v>2</v>
      </c>
    </row>
    <row r="50" spans="1:41">
      <c r="A50" s="14">
        <v>45595.41028935185</v>
      </c>
      <c r="B50" t="s">
        <v>68</v>
      </c>
      <c r="C50" t="s">
        <v>7</v>
      </c>
      <c r="D50" t="s">
        <v>257</v>
      </c>
      <c r="E50">
        <v>0.18664352552674299</v>
      </c>
      <c r="F50">
        <v>90</v>
      </c>
      <c r="G50">
        <v>2</v>
      </c>
      <c r="M50" s="14">
        <v>45595.438148148147</v>
      </c>
      <c r="N50" t="s">
        <v>68</v>
      </c>
      <c r="O50" t="s">
        <v>7</v>
      </c>
      <c r="P50" t="s">
        <v>258</v>
      </c>
      <c r="Q50">
        <v>0.16435384696709601</v>
      </c>
      <c r="R50">
        <v>90</v>
      </c>
      <c r="S50">
        <v>2</v>
      </c>
      <c r="X50" s="18">
        <v>45595.463842592595</v>
      </c>
      <c r="Y50" t="s">
        <v>68</v>
      </c>
      <c r="Z50" t="s">
        <v>5</v>
      </c>
      <c r="AA50" t="s">
        <v>259</v>
      </c>
      <c r="AB50">
        <v>0.237772848266915</v>
      </c>
      <c r="AC50">
        <v>90</v>
      </c>
      <c r="AD50">
        <v>2</v>
      </c>
      <c r="AI50" s="18">
        <v>45595.483101851853</v>
      </c>
      <c r="AJ50" t="s">
        <v>68</v>
      </c>
      <c r="AK50" t="s">
        <v>7</v>
      </c>
      <c r="AL50" t="s">
        <v>260</v>
      </c>
      <c r="AM50">
        <v>0.13088809870596901</v>
      </c>
      <c r="AN50">
        <v>90</v>
      </c>
      <c r="AO50">
        <v>2</v>
      </c>
    </row>
    <row r="51" spans="1:41">
      <c r="A51" s="14">
        <v>45595.41034722222</v>
      </c>
      <c r="B51" t="s">
        <v>68</v>
      </c>
      <c r="C51" t="s">
        <v>7</v>
      </c>
      <c r="D51" t="s">
        <v>261</v>
      </c>
      <c r="E51">
        <v>0.18913671013140201</v>
      </c>
      <c r="F51">
        <v>90</v>
      </c>
      <c r="G51">
        <v>2</v>
      </c>
      <c r="M51" s="14">
        <v>45595.438206018516</v>
      </c>
      <c r="N51" t="s">
        <v>68</v>
      </c>
      <c r="O51" t="s">
        <v>7</v>
      </c>
      <c r="P51" t="s">
        <v>262</v>
      </c>
      <c r="Q51">
        <v>0.16568109562821301</v>
      </c>
      <c r="R51">
        <v>90</v>
      </c>
      <c r="S51">
        <v>2</v>
      </c>
      <c r="X51" s="18">
        <v>45595.463900462964</v>
      </c>
      <c r="Y51" t="s">
        <v>68</v>
      </c>
      <c r="Z51" t="s">
        <v>5</v>
      </c>
      <c r="AA51" t="s">
        <v>263</v>
      </c>
      <c r="AB51">
        <v>0.238244567961618</v>
      </c>
      <c r="AC51">
        <v>90</v>
      </c>
      <c r="AD51">
        <v>2</v>
      </c>
      <c r="AI51" s="18">
        <v>45595.483159722222</v>
      </c>
      <c r="AJ51" t="s">
        <v>68</v>
      </c>
      <c r="AK51" t="s">
        <v>7</v>
      </c>
      <c r="AL51" t="s">
        <v>264</v>
      </c>
      <c r="AM51">
        <v>0.13058403918696601</v>
      </c>
      <c r="AN51">
        <v>90</v>
      </c>
      <c r="AO51">
        <v>2</v>
      </c>
    </row>
    <row r="52" spans="1:41">
      <c r="A52" s="14">
        <v>45595.410405092596</v>
      </c>
      <c r="B52" t="s">
        <v>68</v>
      </c>
      <c r="C52" t="s">
        <v>7</v>
      </c>
      <c r="D52" t="s">
        <v>265</v>
      </c>
      <c r="E52">
        <v>0.189316176728066</v>
      </c>
      <c r="F52">
        <v>90</v>
      </c>
      <c r="G52">
        <v>2</v>
      </c>
      <c r="M52" s="14">
        <v>45595.438263888886</v>
      </c>
      <c r="N52" t="s">
        <v>68</v>
      </c>
      <c r="O52" t="s">
        <v>7</v>
      </c>
      <c r="P52" t="s">
        <v>266</v>
      </c>
      <c r="Q52">
        <v>0.16399147136216499</v>
      </c>
      <c r="R52">
        <v>90</v>
      </c>
      <c r="S52">
        <v>2</v>
      </c>
      <c r="X52" s="18">
        <v>45595.463958333334</v>
      </c>
      <c r="Y52" t="s">
        <v>68</v>
      </c>
      <c r="Z52" t="s">
        <v>5</v>
      </c>
      <c r="AA52" t="s">
        <v>267</v>
      </c>
      <c r="AB52">
        <v>0.23870310633677</v>
      </c>
      <c r="AC52">
        <v>90</v>
      </c>
      <c r="AD52">
        <v>2</v>
      </c>
      <c r="AI52" s="18">
        <v>45595.483217592591</v>
      </c>
      <c r="AJ52" t="s">
        <v>68</v>
      </c>
      <c r="AK52" t="s">
        <v>7</v>
      </c>
      <c r="AL52" t="s">
        <v>268</v>
      </c>
      <c r="AM52">
        <v>0.132019512599346</v>
      </c>
      <c r="AN52">
        <v>90</v>
      </c>
      <c r="AO52">
        <v>2</v>
      </c>
    </row>
    <row r="53" spans="1:41">
      <c r="A53" s="14">
        <v>45595.410462962966</v>
      </c>
      <c r="B53" t="s">
        <v>68</v>
      </c>
      <c r="C53" t="s">
        <v>7</v>
      </c>
      <c r="D53" t="s">
        <v>269</v>
      </c>
      <c r="E53">
        <v>0.18616947615275201</v>
      </c>
      <c r="F53">
        <v>90</v>
      </c>
      <c r="G53">
        <v>2</v>
      </c>
      <c r="M53" s="14">
        <v>45595.438321759262</v>
      </c>
      <c r="N53" t="s">
        <v>68</v>
      </c>
      <c r="O53" t="s">
        <v>7</v>
      </c>
      <c r="P53" t="s">
        <v>270</v>
      </c>
      <c r="Q53">
        <v>0.16657657655470501</v>
      </c>
      <c r="R53">
        <v>90</v>
      </c>
      <c r="S53">
        <v>2</v>
      </c>
      <c r="X53" s="18">
        <v>45595.464016203703</v>
      </c>
      <c r="Y53" t="s">
        <v>68</v>
      </c>
      <c r="Z53" t="s">
        <v>5</v>
      </c>
      <c r="AA53" t="s">
        <v>271</v>
      </c>
      <c r="AB53">
        <v>0.23603776373108301</v>
      </c>
      <c r="AC53">
        <v>90</v>
      </c>
      <c r="AD53">
        <v>2</v>
      </c>
      <c r="AI53" s="18">
        <v>45595.483275462961</v>
      </c>
      <c r="AJ53" t="s">
        <v>68</v>
      </c>
      <c r="AK53" t="s">
        <v>7</v>
      </c>
      <c r="AL53" t="s">
        <v>272</v>
      </c>
      <c r="AM53">
        <v>0.12989932138544599</v>
      </c>
      <c r="AN53">
        <v>90</v>
      </c>
      <c r="AO53">
        <v>2</v>
      </c>
    </row>
    <row r="54" spans="1:41">
      <c r="A54" s="14">
        <v>45595.410520833335</v>
      </c>
      <c r="B54" t="s">
        <v>68</v>
      </c>
      <c r="C54" t="s">
        <v>7</v>
      </c>
      <c r="D54" t="s">
        <v>273</v>
      </c>
      <c r="E54">
        <v>0.18962169251365399</v>
      </c>
      <c r="F54">
        <v>90</v>
      </c>
      <c r="G54">
        <v>2</v>
      </c>
      <c r="M54" s="14">
        <v>45595.438379629632</v>
      </c>
      <c r="N54" t="s">
        <v>68</v>
      </c>
      <c r="O54" t="s">
        <v>7</v>
      </c>
      <c r="P54" t="s">
        <v>274</v>
      </c>
      <c r="Q54">
        <v>0.16392035224821999</v>
      </c>
      <c r="R54">
        <v>90</v>
      </c>
      <c r="S54">
        <v>2</v>
      </c>
      <c r="X54" s="18">
        <v>45595.464074074072</v>
      </c>
      <c r="Y54" t="s">
        <v>68</v>
      </c>
      <c r="Z54" t="s">
        <v>5</v>
      </c>
      <c r="AA54" t="s">
        <v>275</v>
      </c>
      <c r="AB54">
        <v>0.23894469738177501</v>
      </c>
      <c r="AC54">
        <v>90</v>
      </c>
      <c r="AD54">
        <v>2</v>
      </c>
      <c r="AI54" s="18">
        <v>45595.48333333333</v>
      </c>
      <c r="AJ54" t="s">
        <v>68</v>
      </c>
      <c r="AK54" t="s">
        <v>7</v>
      </c>
      <c r="AL54" t="s">
        <v>276</v>
      </c>
      <c r="AM54">
        <v>0.13250982781113199</v>
      </c>
      <c r="AN54">
        <v>90</v>
      </c>
      <c r="AO54">
        <v>2</v>
      </c>
    </row>
    <row r="55" spans="1:41">
      <c r="A55" s="14">
        <v>45595.410578703704</v>
      </c>
      <c r="B55" t="s">
        <v>68</v>
      </c>
      <c r="C55" t="s">
        <v>7</v>
      </c>
      <c r="D55" t="s">
        <v>277</v>
      </c>
      <c r="E55">
        <v>0.19160597988862299</v>
      </c>
      <c r="F55">
        <v>90</v>
      </c>
      <c r="G55">
        <v>2</v>
      </c>
      <c r="M55" s="14">
        <v>45595.438437500001</v>
      </c>
      <c r="N55" t="s">
        <v>68</v>
      </c>
      <c r="O55" t="s">
        <v>7</v>
      </c>
      <c r="P55" t="s">
        <v>278</v>
      </c>
      <c r="Q55">
        <v>0.16692507992722699</v>
      </c>
      <c r="R55">
        <v>90</v>
      </c>
      <c r="S55">
        <v>2</v>
      </c>
      <c r="X55" s="18">
        <v>45595.464131944442</v>
      </c>
      <c r="Y55" t="s">
        <v>68</v>
      </c>
      <c r="Z55" t="s">
        <v>5</v>
      </c>
      <c r="AA55" t="s">
        <v>279</v>
      </c>
      <c r="AB55">
        <v>0.23827122554879901</v>
      </c>
      <c r="AC55">
        <v>90</v>
      </c>
      <c r="AD55">
        <v>2</v>
      </c>
      <c r="AI55" s="18">
        <v>45595.483391203707</v>
      </c>
      <c r="AJ55" t="s">
        <v>68</v>
      </c>
      <c r="AK55" t="s">
        <v>7</v>
      </c>
      <c r="AL55" t="s">
        <v>280</v>
      </c>
      <c r="AM55">
        <v>0.131830101893295</v>
      </c>
      <c r="AN55">
        <v>90</v>
      </c>
      <c r="AO55">
        <v>2</v>
      </c>
    </row>
    <row r="56" spans="1:41">
      <c r="A56" s="14">
        <v>45595.410636574074</v>
      </c>
      <c r="B56" t="s">
        <v>68</v>
      </c>
      <c r="C56" t="s">
        <v>7</v>
      </c>
      <c r="D56" t="s">
        <v>281</v>
      </c>
      <c r="E56">
        <v>0.18886488542312199</v>
      </c>
      <c r="F56">
        <v>90</v>
      </c>
      <c r="G56">
        <v>2</v>
      </c>
      <c r="M56" s="14">
        <v>45595.43849537037</v>
      </c>
      <c r="N56" t="s">
        <v>68</v>
      </c>
      <c r="O56" t="s">
        <v>7</v>
      </c>
      <c r="P56" t="s">
        <v>282</v>
      </c>
      <c r="Q56">
        <v>0.16246437535222</v>
      </c>
      <c r="R56">
        <v>90</v>
      </c>
      <c r="S56">
        <v>2</v>
      </c>
      <c r="X56" s="18">
        <v>45595.464189814818</v>
      </c>
      <c r="Y56" t="s">
        <v>68</v>
      </c>
      <c r="Z56" t="s">
        <v>5</v>
      </c>
      <c r="AA56" t="s">
        <v>283</v>
      </c>
      <c r="AB56">
        <v>0.237487242503999</v>
      </c>
      <c r="AC56">
        <v>90</v>
      </c>
      <c r="AD56">
        <v>2</v>
      </c>
      <c r="AI56" s="18">
        <v>45595.483449074076</v>
      </c>
      <c r="AJ56" t="s">
        <v>68</v>
      </c>
      <c r="AK56" t="s">
        <v>7</v>
      </c>
      <c r="AL56" t="s">
        <v>284</v>
      </c>
      <c r="AM56">
        <v>0.13247042356219199</v>
      </c>
      <c r="AN56">
        <v>90</v>
      </c>
      <c r="AO56">
        <v>2</v>
      </c>
    </row>
    <row r="57" spans="1:41">
      <c r="A57" s="14">
        <v>45595.410694444443</v>
      </c>
      <c r="B57" t="s">
        <v>68</v>
      </c>
      <c r="C57" t="s">
        <v>7</v>
      </c>
      <c r="D57" t="s">
        <v>285</v>
      </c>
      <c r="E57">
        <v>0.18750712110551501</v>
      </c>
      <c r="F57">
        <v>90</v>
      </c>
      <c r="G57">
        <v>2</v>
      </c>
      <c r="M57" s="14">
        <v>45595.43855324074</v>
      </c>
      <c r="N57" t="s">
        <v>68</v>
      </c>
      <c r="O57" t="s">
        <v>7</v>
      </c>
      <c r="P57" t="s">
        <v>286</v>
      </c>
      <c r="Q57">
        <v>0.16612676339691099</v>
      </c>
      <c r="R57">
        <v>90</v>
      </c>
      <c r="S57">
        <v>2</v>
      </c>
      <c r="X57" s="18">
        <v>45595.464247685188</v>
      </c>
      <c r="Y57" t="s">
        <v>68</v>
      </c>
      <c r="Z57" t="s">
        <v>5</v>
      </c>
      <c r="AA57" t="s">
        <v>287</v>
      </c>
      <c r="AB57">
        <v>0.23862452396525599</v>
      </c>
      <c r="AC57">
        <v>90</v>
      </c>
      <c r="AD57">
        <v>2</v>
      </c>
      <c r="AI57" s="18">
        <v>45595.483506944445</v>
      </c>
      <c r="AJ57" t="s">
        <v>68</v>
      </c>
      <c r="AK57" t="s">
        <v>7</v>
      </c>
      <c r="AL57" t="s">
        <v>288</v>
      </c>
      <c r="AM57">
        <v>0.129165772438778</v>
      </c>
      <c r="AN57">
        <v>90</v>
      </c>
      <c r="AO57">
        <v>2</v>
      </c>
    </row>
    <row r="58" spans="1:41">
      <c r="A58" s="14">
        <v>45595.410752314812</v>
      </c>
      <c r="B58" t="s">
        <v>68</v>
      </c>
      <c r="C58" t="s">
        <v>7</v>
      </c>
      <c r="D58" t="s">
        <v>289</v>
      </c>
      <c r="E58">
        <v>0.188828672259059</v>
      </c>
      <c r="F58">
        <v>90</v>
      </c>
      <c r="G58">
        <v>2</v>
      </c>
      <c r="M58" s="14">
        <v>45595.438611111109</v>
      </c>
      <c r="N58" t="s">
        <v>68</v>
      </c>
      <c r="O58" t="s">
        <v>7</v>
      </c>
      <c r="P58" t="s">
        <v>290</v>
      </c>
      <c r="Q58">
        <v>0.16776041566965599</v>
      </c>
      <c r="R58">
        <v>90</v>
      </c>
      <c r="S58">
        <v>2</v>
      </c>
      <c r="X58" s="18">
        <v>45595.464305555557</v>
      </c>
      <c r="Y58" t="s">
        <v>68</v>
      </c>
      <c r="Z58" t="s">
        <v>5</v>
      </c>
      <c r="AA58" t="s">
        <v>291</v>
      </c>
      <c r="AB58">
        <v>0.23994263795370799</v>
      </c>
      <c r="AC58">
        <v>90</v>
      </c>
      <c r="AD58">
        <v>2</v>
      </c>
      <c r="AI58" s="18">
        <v>45595.483564814815</v>
      </c>
      <c r="AJ58" t="s">
        <v>68</v>
      </c>
      <c r="AK58" t="s">
        <v>7</v>
      </c>
      <c r="AL58" t="s">
        <v>292</v>
      </c>
      <c r="AM58">
        <v>0.132379977806689</v>
      </c>
      <c r="AN58">
        <v>90</v>
      </c>
      <c r="AO58">
        <v>2</v>
      </c>
    </row>
    <row r="59" spans="1:41">
      <c r="A59" s="14">
        <v>45595.410810185182</v>
      </c>
      <c r="B59" t="s">
        <v>68</v>
      </c>
      <c r="C59" t="s">
        <v>7</v>
      </c>
      <c r="D59" t="s">
        <v>293</v>
      </c>
      <c r="E59">
        <v>0.188578330847915</v>
      </c>
      <c r="F59">
        <v>90</v>
      </c>
      <c r="G59">
        <v>2</v>
      </c>
      <c r="M59" s="14">
        <v>45595.438668981478</v>
      </c>
      <c r="N59" t="s">
        <v>68</v>
      </c>
      <c r="O59" t="s">
        <v>7</v>
      </c>
      <c r="P59" t="s">
        <v>294</v>
      </c>
      <c r="Q59">
        <v>0.16366585711287299</v>
      </c>
      <c r="R59">
        <v>90</v>
      </c>
      <c r="S59">
        <v>2</v>
      </c>
      <c r="X59" s="18">
        <v>45595.464363425926</v>
      </c>
      <c r="Y59" t="s">
        <v>68</v>
      </c>
      <c r="Z59" t="s">
        <v>5</v>
      </c>
      <c r="AA59" t="s">
        <v>295</v>
      </c>
      <c r="AB59">
        <v>0.24042312296467</v>
      </c>
      <c r="AC59">
        <v>90</v>
      </c>
      <c r="AD59">
        <v>2</v>
      </c>
      <c r="AI59" s="18">
        <v>45595.483622685184</v>
      </c>
      <c r="AJ59" t="s">
        <v>68</v>
      </c>
      <c r="AK59" t="s">
        <v>7</v>
      </c>
      <c r="AL59" t="s">
        <v>296</v>
      </c>
      <c r="AM59">
        <v>0.133091791866047</v>
      </c>
      <c r="AN59">
        <v>90</v>
      </c>
      <c r="AO59">
        <v>2</v>
      </c>
    </row>
    <row r="60" spans="1:41">
      <c r="A60" s="14">
        <v>45595.410868055558</v>
      </c>
      <c r="B60" t="s">
        <v>68</v>
      </c>
      <c r="C60" t="s">
        <v>7</v>
      </c>
      <c r="D60" t="s">
        <v>297</v>
      </c>
      <c r="E60">
        <v>0.18727607774499699</v>
      </c>
      <c r="F60">
        <v>90</v>
      </c>
      <c r="G60">
        <v>2</v>
      </c>
      <c r="M60" s="14">
        <v>45595.438726851855</v>
      </c>
      <c r="N60" t="s">
        <v>68</v>
      </c>
      <c r="O60" t="s">
        <v>7</v>
      </c>
      <c r="P60" t="s">
        <v>298</v>
      </c>
      <c r="Q60">
        <v>0.16696929750519901</v>
      </c>
      <c r="R60">
        <v>90</v>
      </c>
      <c r="S60">
        <v>2</v>
      </c>
      <c r="X60" s="18">
        <v>45595.464421296296</v>
      </c>
      <c r="Y60" t="s">
        <v>68</v>
      </c>
      <c r="Z60" t="s">
        <v>5</v>
      </c>
      <c r="AA60" t="s">
        <v>299</v>
      </c>
      <c r="AB60">
        <v>0.23996415268791399</v>
      </c>
      <c r="AC60">
        <v>90</v>
      </c>
      <c r="AD60">
        <v>2</v>
      </c>
      <c r="AI60" s="18">
        <v>45595.483680555553</v>
      </c>
      <c r="AJ60" t="s">
        <v>68</v>
      </c>
      <c r="AK60" t="s">
        <v>7</v>
      </c>
      <c r="AL60" t="s">
        <v>300</v>
      </c>
      <c r="AM60">
        <v>0.13209884358750501</v>
      </c>
      <c r="AN60">
        <v>90</v>
      </c>
      <c r="AO60">
        <v>2</v>
      </c>
    </row>
    <row r="61" spans="1:41">
      <c r="A61" s="14">
        <v>45595.410925925928</v>
      </c>
      <c r="B61" t="s">
        <v>68</v>
      </c>
      <c r="C61" t="s">
        <v>7</v>
      </c>
      <c r="D61" t="s">
        <v>301</v>
      </c>
      <c r="E61">
        <v>0.18676067811316299</v>
      </c>
      <c r="F61">
        <v>90</v>
      </c>
      <c r="G61">
        <v>2</v>
      </c>
      <c r="M61" s="14">
        <v>45595.439016203702</v>
      </c>
      <c r="N61" t="s">
        <v>68</v>
      </c>
      <c r="O61" t="s">
        <v>8</v>
      </c>
      <c r="P61" t="s">
        <v>302</v>
      </c>
      <c r="Q61">
        <v>0.160636459744807</v>
      </c>
      <c r="R61">
        <v>90</v>
      </c>
      <c r="S61">
        <v>2</v>
      </c>
      <c r="X61" s="18">
        <v>45595.464745370373</v>
      </c>
      <c r="Y61" t="s">
        <v>68</v>
      </c>
      <c r="Z61" t="s">
        <v>7</v>
      </c>
      <c r="AA61" t="s">
        <v>303</v>
      </c>
      <c r="AB61">
        <v>0.150562123948111</v>
      </c>
      <c r="AC61">
        <v>90</v>
      </c>
      <c r="AD61">
        <v>2</v>
      </c>
      <c r="AI61" s="18">
        <v>45595.483738425923</v>
      </c>
      <c r="AJ61" t="s">
        <v>68</v>
      </c>
      <c r="AK61" t="s">
        <v>7</v>
      </c>
      <c r="AL61" t="s">
        <v>304</v>
      </c>
      <c r="AM61">
        <v>0.13253757216513301</v>
      </c>
      <c r="AN61">
        <v>90</v>
      </c>
      <c r="AO61">
        <v>2</v>
      </c>
    </row>
    <row r="62" spans="1:41">
      <c r="A62" s="14">
        <v>45595.410983796297</v>
      </c>
      <c r="B62" t="s">
        <v>68</v>
      </c>
      <c r="C62" t="s">
        <v>7</v>
      </c>
      <c r="D62" t="s">
        <v>305</v>
      </c>
      <c r="E62">
        <v>0.18593622507832699</v>
      </c>
      <c r="F62">
        <v>90</v>
      </c>
      <c r="G62">
        <v>2</v>
      </c>
      <c r="M62" s="14">
        <v>45595.439074074071</v>
      </c>
      <c r="N62" t="s">
        <v>68</v>
      </c>
      <c r="O62" t="s">
        <v>8</v>
      </c>
      <c r="P62" t="s">
        <v>306</v>
      </c>
      <c r="Q62">
        <v>0.15737194809788199</v>
      </c>
      <c r="R62">
        <v>90</v>
      </c>
      <c r="S62">
        <v>2</v>
      </c>
      <c r="X62" s="18">
        <v>45595.464803240742</v>
      </c>
      <c r="Y62" t="s">
        <v>68</v>
      </c>
      <c r="Z62" t="s">
        <v>7</v>
      </c>
      <c r="AA62" t="s">
        <v>307</v>
      </c>
      <c r="AB62">
        <v>0.15222646389702801</v>
      </c>
      <c r="AC62">
        <v>90</v>
      </c>
      <c r="AD62">
        <v>2</v>
      </c>
      <c r="AI62" s="18">
        <v>45595.484027777777</v>
      </c>
      <c r="AJ62" t="s">
        <v>68</v>
      </c>
      <c r="AK62" t="s">
        <v>8</v>
      </c>
      <c r="AL62" t="s">
        <v>308</v>
      </c>
      <c r="AM62">
        <v>0.12932656299906101</v>
      </c>
      <c r="AN62">
        <v>90</v>
      </c>
      <c r="AO62">
        <v>2</v>
      </c>
    </row>
    <row r="63" spans="1:41">
      <c r="A63" s="14">
        <v>45595.411041666666</v>
      </c>
      <c r="B63" t="s">
        <v>68</v>
      </c>
      <c r="C63" t="s">
        <v>7</v>
      </c>
      <c r="D63" t="s">
        <v>309</v>
      </c>
      <c r="E63">
        <v>0.18950472245209801</v>
      </c>
      <c r="F63">
        <v>90</v>
      </c>
      <c r="G63">
        <v>2</v>
      </c>
      <c r="M63" s="14">
        <v>45595.439131944448</v>
      </c>
      <c r="N63" t="s">
        <v>68</v>
      </c>
      <c r="O63" t="s">
        <v>8</v>
      </c>
      <c r="P63" t="s">
        <v>310</v>
      </c>
      <c r="Q63">
        <v>0.15808251166394599</v>
      </c>
      <c r="R63">
        <v>90</v>
      </c>
      <c r="S63">
        <v>2</v>
      </c>
      <c r="X63" s="18">
        <v>45595.464861111112</v>
      </c>
      <c r="Y63" t="s">
        <v>68</v>
      </c>
      <c r="Z63" t="s">
        <v>7</v>
      </c>
      <c r="AA63" t="s">
        <v>311</v>
      </c>
      <c r="AB63">
        <v>0.148316773397379</v>
      </c>
      <c r="AC63">
        <v>90</v>
      </c>
      <c r="AD63">
        <v>2</v>
      </c>
      <c r="AI63" s="18">
        <v>45595.484085648146</v>
      </c>
      <c r="AJ63" t="s">
        <v>68</v>
      </c>
      <c r="AK63" t="s">
        <v>8</v>
      </c>
      <c r="AL63" t="s">
        <v>312</v>
      </c>
      <c r="AM63">
        <v>0.12658920221124501</v>
      </c>
      <c r="AN63">
        <v>90</v>
      </c>
      <c r="AO63">
        <v>2</v>
      </c>
    </row>
    <row r="64" spans="1:41">
      <c r="A64" s="14">
        <v>45595.411099537036</v>
      </c>
      <c r="B64" t="s">
        <v>68</v>
      </c>
      <c r="C64" t="s">
        <v>7</v>
      </c>
      <c r="D64" t="s">
        <v>313</v>
      </c>
      <c r="E64">
        <v>0.18911386172554001</v>
      </c>
      <c r="F64">
        <v>90</v>
      </c>
      <c r="G64">
        <v>2</v>
      </c>
      <c r="M64" s="14">
        <v>45595.439189814817</v>
      </c>
      <c r="N64" t="s">
        <v>68</v>
      </c>
      <c r="O64" t="s">
        <v>8</v>
      </c>
      <c r="P64" t="s">
        <v>314</v>
      </c>
      <c r="Q64">
        <v>0.156326998890298</v>
      </c>
      <c r="R64">
        <v>90</v>
      </c>
      <c r="S64">
        <v>2</v>
      </c>
      <c r="X64" s="18">
        <v>45595.464918981481</v>
      </c>
      <c r="Y64" t="s">
        <v>68</v>
      </c>
      <c r="Z64" t="s">
        <v>7</v>
      </c>
      <c r="AA64" t="s">
        <v>315</v>
      </c>
      <c r="AB64">
        <v>0.148839776886421</v>
      </c>
      <c r="AC64">
        <v>90</v>
      </c>
      <c r="AD64">
        <v>2</v>
      </c>
      <c r="AI64" s="18">
        <v>45595.484143518515</v>
      </c>
      <c r="AJ64" t="s">
        <v>68</v>
      </c>
      <c r="AK64" t="s">
        <v>8</v>
      </c>
      <c r="AL64" t="s">
        <v>316</v>
      </c>
      <c r="AM64">
        <v>0.12565242241949001</v>
      </c>
      <c r="AN64">
        <v>90</v>
      </c>
      <c r="AO64">
        <v>2</v>
      </c>
    </row>
    <row r="65" spans="1:41">
      <c r="A65" s="14">
        <v>45595.411157407405</v>
      </c>
      <c r="B65" t="s">
        <v>68</v>
      </c>
      <c r="C65" t="s">
        <v>7</v>
      </c>
      <c r="D65" t="s">
        <v>317</v>
      </c>
      <c r="E65">
        <v>0.18762534548151799</v>
      </c>
      <c r="F65">
        <v>90</v>
      </c>
      <c r="G65">
        <v>2</v>
      </c>
      <c r="M65" s="14">
        <v>45595.439247685186</v>
      </c>
      <c r="N65" t="s">
        <v>68</v>
      </c>
      <c r="O65" t="s">
        <v>8</v>
      </c>
      <c r="P65" t="s">
        <v>318</v>
      </c>
      <c r="Q65">
        <v>0.15473530433826899</v>
      </c>
      <c r="R65">
        <v>90</v>
      </c>
      <c r="S65">
        <v>2</v>
      </c>
      <c r="X65" s="18">
        <v>45595.46497685185</v>
      </c>
      <c r="Y65" t="s">
        <v>68</v>
      </c>
      <c r="Z65" t="s">
        <v>7</v>
      </c>
      <c r="AA65" t="s">
        <v>319</v>
      </c>
      <c r="AB65">
        <v>0.14776435628458701</v>
      </c>
      <c r="AC65">
        <v>90</v>
      </c>
      <c r="AD65">
        <v>2</v>
      </c>
      <c r="AI65" s="18">
        <v>45595.484201388892</v>
      </c>
      <c r="AJ65" t="s">
        <v>68</v>
      </c>
      <c r="AK65" t="s">
        <v>8</v>
      </c>
      <c r="AL65" t="s">
        <v>320</v>
      </c>
      <c r="AM65">
        <v>0.12731454245007101</v>
      </c>
      <c r="AN65">
        <v>90</v>
      </c>
      <c r="AO65">
        <v>2</v>
      </c>
    </row>
    <row r="66" spans="1:41">
      <c r="A66" s="14">
        <v>45595.411215277774</v>
      </c>
      <c r="B66" t="s">
        <v>68</v>
      </c>
      <c r="C66" t="s">
        <v>7</v>
      </c>
      <c r="D66" t="s">
        <v>321</v>
      </c>
      <c r="E66">
        <v>0.190336982285017</v>
      </c>
      <c r="F66">
        <v>90</v>
      </c>
      <c r="G66">
        <v>2</v>
      </c>
      <c r="M66" s="14">
        <v>45595.439305555556</v>
      </c>
      <c r="N66" t="s">
        <v>68</v>
      </c>
      <c r="O66" t="s">
        <v>8</v>
      </c>
      <c r="P66" t="s">
        <v>322</v>
      </c>
      <c r="Q66">
        <v>0.15472370451518</v>
      </c>
      <c r="R66">
        <v>90</v>
      </c>
      <c r="S66">
        <v>2</v>
      </c>
      <c r="X66" s="18">
        <v>45595.46503472222</v>
      </c>
      <c r="Y66" t="s">
        <v>68</v>
      </c>
      <c r="Z66" t="s">
        <v>7</v>
      </c>
      <c r="AA66" t="s">
        <v>323</v>
      </c>
      <c r="AB66">
        <v>0.151012494516161</v>
      </c>
      <c r="AC66">
        <v>90</v>
      </c>
      <c r="AD66">
        <v>2</v>
      </c>
      <c r="AI66" s="18">
        <v>45595.484259259261</v>
      </c>
      <c r="AJ66" t="s">
        <v>68</v>
      </c>
      <c r="AK66" t="s">
        <v>8</v>
      </c>
      <c r="AL66" t="s">
        <v>324</v>
      </c>
      <c r="AM66">
        <v>0.126607478387016</v>
      </c>
      <c r="AN66">
        <v>90</v>
      </c>
      <c r="AO66">
        <v>2</v>
      </c>
    </row>
    <row r="67" spans="1:41">
      <c r="A67" s="14">
        <v>45595.411273148151</v>
      </c>
      <c r="B67" t="s">
        <v>68</v>
      </c>
      <c r="C67" t="s">
        <v>7</v>
      </c>
      <c r="D67" t="s">
        <v>325</v>
      </c>
      <c r="E67">
        <v>0.188681204469342</v>
      </c>
      <c r="F67">
        <v>90</v>
      </c>
      <c r="G67">
        <v>2</v>
      </c>
      <c r="M67" s="14">
        <v>45595.439363425925</v>
      </c>
      <c r="N67" t="s">
        <v>68</v>
      </c>
      <c r="O67" t="s">
        <v>8</v>
      </c>
      <c r="P67" t="s">
        <v>326</v>
      </c>
      <c r="Q67">
        <v>0.15462208520579401</v>
      </c>
      <c r="R67">
        <v>90</v>
      </c>
      <c r="S67">
        <v>2</v>
      </c>
      <c r="X67" s="18">
        <v>45595.465092592596</v>
      </c>
      <c r="Y67" t="s">
        <v>68</v>
      </c>
      <c r="Z67" t="s">
        <v>7</v>
      </c>
      <c r="AA67" t="s">
        <v>327</v>
      </c>
      <c r="AB67">
        <v>0.15034495485855401</v>
      </c>
      <c r="AC67">
        <v>90</v>
      </c>
      <c r="AD67">
        <v>2</v>
      </c>
      <c r="AI67" s="18">
        <v>45595.484317129631</v>
      </c>
      <c r="AJ67" t="s">
        <v>68</v>
      </c>
      <c r="AK67" t="s">
        <v>8</v>
      </c>
      <c r="AL67" t="s">
        <v>328</v>
      </c>
      <c r="AM67">
        <v>0.12822035648973601</v>
      </c>
      <c r="AN67">
        <v>90</v>
      </c>
      <c r="AO67">
        <v>2</v>
      </c>
    </row>
    <row r="68" spans="1:41">
      <c r="A68" s="14">
        <v>45595.41133101852</v>
      </c>
      <c r="B68" t="s">
        <v>68</v>
      </c>
      <c r="C68" t="s">
        <v>7</v>
      </c>
      <c r="D68" t="s">
        <v>329</v>
      </c>
      <c r="E68">
        <v>0.18718292852027399</v>
      </c>
      <c r="F68">
        <v>90</v>
      </c>
      <c r="G68">
        <v>2</v>
      </c>
      <c r="M68" s="14">
        <v>45595.439421296294</v>
      </c>
      <c r="N68" t="s">
        <v>68</v>
      </c>
      <c r="O68" t="s">
        <v>8</v>
      </c>
      <c r="P68" t="s">
        <v>330</v>
      </c>
      <c r="Q68">
        <v>0.15785066750662399</v>
      </c>
      <c r="R68">
        <v>90</v>
      </c>
      <c r="S68">
        <v>2</v>
      </c>
      <c r="X68" s="18">
        <v>45595.465150462966</v>
      </c>
      <c r="Y68" t="s">
        <v>68</v>
      </c>
      <c r="Z68" t="s">
        <v>7</v>
      </c>
      <c r="AA68" t="s">
        <v>331</v>
      </c>
      <c r="AB68">
        <v>0.15254080031242601</v>
      </c>
      <c r="AC68">
        <v>90</v>
      </c>
      <c r="AD68">
        <v>2</v>
      </c>
      <c r="AI68" s="18">
        <v>45595.484375</v>
      </c>
      <c r="AJ68" t="s">
        <v>68</v>
      </c>
      <c r="AK68" t="s">
        <v>8</v>
      </c>
      <c r="AL68" t="s">
        <v>332</v>
      </c>
      <c r="AM68">
        <v>0.12850298833137599</v>
      </c>
      <c r="AN68">
        <v>90</v>
      </c>
      <c r="AO68">
        <v>2</v>
      </c>
    </row>
    <row r="69" spans="1:41">
      <c r="A69" s="14">
        <v>45595.411631944444</v>
      </c>
      <c r="B69" t="s">
        <v>68</v>
      </c>
      <c r="C69" t="s">
        <v>8</v>
      </c>
      <c r="D69" t="s">
        <v>333</v>
      </c>
      <c r="E69">
        <v>0.18538044168199799</v>
      </c>
      <c r="F69">
        <v>90</v>
      </c>
      <c r="G69">
        <v>2</v>
      </c>
      <c r="M69" s="14">
        <v>45595.439479166664</v>
      </c>
      <c r="N69" t="s">
        <v>68</v>
      </c>
      <c r="O69" t="s">
        <v>8</v>
      </c>
      <c r="P69" t="s">
        <v>334</v>
      </c>
      <c r="Q69">
        <v>0.15428895774597701</v>
      </c>
      <c r="R69">
        <v>90</v>
      </c>
      <c r="S69">
        <v>2</v>
      </c>
      <c r="X69" s="18">
        <v>45595.465208333335</v>
      </c>
      <c r="Y69" t="s">
        <v>68</v>
      </c>
      <c r="Z69" t="s">
        <v>7</v>
      </c>
      <c r="AA69" t="s">
        <v>335</v>
      </c>
      <c r="AB69">
        <v>0.151393471134946</v>
      </c>
      <c r="AC69">
        <v>90</v>
      </c>
      <c r="AD69">
        <v>2</v>
      </c>
      <c r="AI69" s="18">
        <v>45595.484432870369</v>
      </c>
      <c r="AJ69" t="s">
        <v>68</v>
      </c>
      <c r="AK69" t="s">
        <v>8</v>
      </c>
      <c r="AL69" t="s">
        <v>336</v>
      </c>
      <c r="AM69">
        <v>0.12790232072649699</v>
      </c>
      <c r="AN69">
        <v>90</v>
      </c>
      <c r="AO69">
        <v>2</v>
      </c>
    </row>
    <row r="70" spans="1:41">
      <c r="A70" s="14">
        <v>45595.411689814813</v>
      </c>
      <c r="B70" t="s">
        <v>68</v>
      </c>
      <c r="C70" t="s">
        <v>8</v>
      </c>
      <c r="D70" t="s">
        <v>337</v>
      </c>
      <c r="E70">
        <v>0.18557164821279901</v>
      </c>
      <c r="F70">
        <v>90</v>
      </c>
      <c r="G70">
        <v>2</v>
      </c>
      <c r="M70" s="14">
        <v>45595.43953703704</v>
      </c>
      <c r="N70" t="s">
        <v>68</v>
      </c>
      <c r="O70" t="s">
        <v>8</v>
      </c>
      <c r="P70" t="s">
        <v>338</v>
      </c>
      <c r="Q70">
        <v>0.15718396422711201</v>
      </c>
      <c r="R70">
        <v>90</v>
      </c>
      <c r="S70">
        <v>2</v>
      </c>
      <c r="X70" s="18">
        <v>45595.465266203704</v>
      </c>
      <c r="Y70" t="s">
        <v>68</v>
      </c>
      <c r="Z70" t="s">
        <v>7</v>
      </c>
      <c r="AA70" t="s">
        <v>339</v>
      </c>
      <c r="AB70">
        <v>0.15054948550330999</v>
      </c>
      <c r="AC70">
        <v>90</v>
      </c>
      <c r="AD70">
        <v>2</v>
      </c>
      <c r="AI70" s="18">
        <v>45595.484490740739</v>
      </c>
      <c r="AJ70" t="s">
        <v>68</v>
      </c>
      <c r="AK70" t="s">
        <v>8</v>
      </c>
      <c r="AL70" t="s">
        <v>340</v>
      </c>
      <c r="AM70">
        <v>0.126118661935749</v>
      </c>
      <c r="AN70">
        <v>90</v>
      </c>
      <c r="AO70">
        <v>2</v>
      </c>
    </row>
    <row r="71" spans="1:41">
      <c r="A71" s="14">
        <v>45595.411747685182</v>
      </c>
      <c r="B71" t="s">
        <v>68</v>
      </c>
      <c r="C71" t="s">
        <v>8</v>
      </c>
      <c r="D71" t="s">
        <v>341</v>
      </c>
      <c r="E71">
        <v>0.179330777393376</v>
      </c>
      <c r="F71">
        <v>90</v>
      </c>
      <c r="G71">
        <v>2</v>
      </c>
      <c r="M71" s="14">
        <v>45595.43959490741</v>
      </c>
      <c r="N71" t="s">
        <v>68</v>
      </c>
      <c r="O71" t="s">
        <v>8</v>
      </c>
      <c r="P71" t="s">
        <v>342</v>
      </c>
      <c r="Q71">
        <v>0.15612216567967699</v>
      </c>
      <c r="R71">
        <v>90</v>
      </c>
      <c r="S71">
        <v>2</v>
      </c>
      <c r="X71" s="18">
        <v>45595.465324074074</v>
      </c>
      <c r="Y71" t="s">
        <v>68</v>
      </c>
      <c r="Z71" t="s">
        <v>7</v>
      </c>
      <c r="AA71" t="s">
        <v>343</v>
      </c>
      <c r="AB71">
        <v>0.15149063043501701</v>
      </c>
      <c r="AC71">
        <v>90</v>
      </c>
      <c r="AD71">
        <v>2</v>
      </c>
      <c r="AI71" s="18">
        <v>45595.484548611108</v>
      </c>
      <c r="AJ71" t="s">
        <v>68</v>
      </c>
      <c r="AK71" t="s">
        <v>8</v>
      </c>
      <c r="AL71" t="s">
        <v>344</v>
      </c>
      <c r="AM71">
        <v>0.12798664793674799</v>
      </c>
      <c r="AN71">
        <v>90</v>
      </c>
      <c r="AO71">
        <v>2</v>
      </c>
    </row>
    <row r="72" spans="1:41">
      <c r="A72" s="14">
        <v>45595.411805555559</v>
      </c>
      <c r="B72" t="s">
        <v>68</v>
      </c>
      <c r="C72" t="s">
        <v>8</v>
      </c>
      <c r="D72" t="s">
        <v>345</v>
      </c>
      <c r="E72">
        <v>0.17616006462696299</v>
      </c>
      <c r="F72">
        <v>90</v>
      </c>
      <c r="G72">
        <v>2</v>
      </c>
      <c r="M72" s="14">
        <v>45595.439652777779</v>
      </c>
      <c r="N72" t="s">
        <v>68</v>
      </c>
      <c r="O72" t="s">
        <v>8</v>
      </c>
      <c r="P72" t="s">
        <v>346</v>
      </c>
      <c r="Q72">
        <v>0.15938643049489401</v>
      </c>
      <c r="R72">
        <v>90</v>
      </c>
      <c r="S72">
        <v>2</v>
      </c>
      <c r="X72" s="18">
        <v>45595.465381944443</v>
      </c>
      <c r="Y72" t="s">
        <v>68</v>
      </c>
      <c r="Z72" t="s">
        <v>7</v>
      </c>
      <c r="AA72" t="s">
        <v>347</v>
      </c>
      <c r="AB72">
        <v>0.150639456995177</v>
      </c>
      <c r="AC72">
        <v>90</v>
      </c>
      <c r="AD72">
        <v>2</v>
      </c>
      <c r="AI72" s="18">
        <v>45595.484606481485</v>
      </c>
      <c r="AJ72" t="s">
        <v>68</v>
      </c>
      <c r="AK72" t="s">
        <v>8</v>
      </c>
      <c r="AL72" t="s">
        <v>348</v>
      </c>
      <c r="AM72">
        <v>0.128411568863114</v>
      </c>
      <c r="AN72">
        <v>90</v>
      </c>
      <c r="AO72">
        <v>2</v>
      </c>
    </row>
    <row r="73" spans="1:41">
      <c r="A73" s="14">
        <v>45595.411863425928</v>
      </c>
      <c r="B73" t="s">
        <v>68</v>
      </c>
      <c r="C73" t="s">
        <v>8</v>
      </c>
      <c r="D73" t="s">
        <v>349</v>
      </c>
      <c r="E73">
        <v>0.18113885319536799</v>
      </c>
      <c r="F73">
        <v>90</v>
      </c>
      <c r="G73">
        <v>2</v>
      </c>
      <c r="M73" s="14">
        <v>45595.439710648148</v>
      </c>
      <c r="N73" t="s">
        <v>68</v>
      </c>
      <c r="O73" t="s">
        <v>8</v>
      </c>
      <c r="P73" t="s">
        <v>350</v>
      </c>
      <c r="Q73">
        <v>0.157938342391862</v>
      </c>
      <c r="R73">
        <v>90</v>
      </c>
      <c r="S73">
        <v>2</v>
      </c>
      <c r="X73" s="18">
        <v>45595.465439814812</v>
      </c>
      <c r="Y73" t="s">
        <v>68</v>
      </c>
      <c r="Z73" t="s">
        <v>7</v>
      </c>
      <c r="AA73" t="s">
        <v>351</v>
      </c>
      <c r="AB73">
        <v>0.15099304966343399</v>
      </c>
      <c r="AC73">
        <v>90</v>
      </c>
      <c r="AD73">
        <v>2</v>
      </c>
      <c r="AI73" s="18">
        <v>45595.484664351854</v>
      </c>
      <c r="AJ73" t="s">
        <v>68</v>
      </c>
      <c r="AK73" t="s">
        <v>8</v>
      </c>
      <c r="AL73" t="s">
        <v>352</v>
      </c>
      <c r="AM73">
        <v>0.126455521721451</v>
      </c>
      <c r="AN73">
        <v>90</v>
      </c>
      <c r="AO73">
        <v>2</v>
      </c>
    </row>
    <row r="74" spans="1:41">
      <c r="A74" s="14">
        <v>45595.411921296298</v>
      </c>
      <c r="B74" t="s">
        <v>68</v>
      </c>
      <c r="C74" t="s">
        <v>8</v>
      </c>
      <c r="D74" t="s">
        <v>353</v>
      </c>
      <c r="E74">
        <v>0.183067072994999</v>
      </c>
      <c r="F74">
        <v>90</v>
      </c>
      <c r="G74">
        <v>2</v>
      </c>
      <c r="M74" s="14">
        <v>45595.439768518518</v>
      </c>
      <c r="N74" t="s">
        <v>68</v>
      </c>
      <c r="O74" t="s">
        <v>8</v>
      </c>
      <c r="P74" t="s">
        <v>354</v>
      </c>
      <c r="Q74">
        <v>0.157676760588769</v>
      </c>
      <c r="R74">
        <v>90</v>
      </c>
      <c r="S74">
        <v>2</v>
      </c>
      <c r="X74" s="18">
        <v>45595.465497685182</v>
      </c>
      <c r="Y74" t="s">
        <v>68</v>
      </c>
      <c r="Z74" t="s">
        <v>7</v>
      </c>
      <c r="AA74" t="s">
        <v>355</v>
      </c>
      <c r="AB74">
        <v>0.14758008929601599</v>
      </c>
      <c r="AC74">
        <v>90</v>
      </c>
      <c r="AD74">
        <v>2</v>
      </c>
      <c r="AI74" s="18">
        <v>45595.484722222223</v>
      </c>
      <c r="AJ74" t="s">
        <v>68</v>
      </c>
      <c r="AK74" t="s">
        <v>8</v>
      </c>
      <c r="AL74" t="s">
        <v>356</v>
      </c>
      <c r="AM74">
        <v>0.127454820639091</v>
      </c>
      <c r="AN74">
        <v>90</v>
      </c>
      <c r="AO74">
        <v>2</v>
      </c>
    </row>
    <row r="75" spans="1:41">
      <c r="A75" s="14">
        <v>45595.411979166667</v>
      </c>
      <c r="B75" t="s">
        <v>68</v>
      </c>
      <c r="C75" t="s">
        <v>8</v>
      </c>
      <c r="D75" t="s">
        <v>357</v>
      </c>
      <c r="E75">
        <v>0.18155162970528699</v>
      </c>
      <c r="F75">
        <v>90</v>
      </c>
      <c r="G75">
        <v>2</v>
      </c>
      <c r="M75" s="14">
        <v>45595.439826388887</v>
      </c>
      <c r="N75" t="s">
        <v>68</v>
      </c>
      <c r="O75" t="s">
        <v>8</v>
      </c>
      <c r="P75" t="s">
        <v>358</v>
      </c>
      <c r="Q75">
        <v>0.157470824497427</v>
      </c>
      <c r="R75">
        <v>90</v>
      </c>
      <c r="S75">
        <v>2</v>
      </c>
      <c r="X75" s="18">
        <v>45595.465555555558</v>
      </c>
      <c r="Y75" t="s">
        <v>68</v>
      </c>
      <c r="Z75" t="s">
        <v>7</v>
      </c>
      <c r="AA75" t="s">
        <v>359</v>
      </c>
      <c r="AB75">
        <v>0.147798893259946</v>
      </c>
      <c r="AC75">
        <v>90</v>
      </c>
      <c r="AD75">
        <v>2</v>
      </c>
      <c r="AI75" s="18">
        <v>45595.484780092593</v>
      </c>
      <c r="AJ75" t="s">
        <v>68</v>
      </c>
      <c r="AK75" t="s">
        <v>8</v>
      </c>
      <c r="AL75" t="s">
        <v>360</v>
      </c>
      <c r="AM75">
        <v>0.12751750283695101</v>
      </c>
      <c r="AN75">
        <v>90</v>
      </c>
      <c r="AO75">
        <v>2</v>
      </c>
    </row>
    <row r="76" spans="1:41">
      <c r="A76" s="14">
        <v>45595.412037037036</v>
      </c>
      <c r="B76" t="s">
        <v>68</v>
      </c>
      <c r="C76" t="s">
        <v>8</v>
      </c>
      <c r="D76" t="s">
        <v>361</v>
      </c>
      <c r="E76">
        <v>0.183462558405348</v>
      </c>
      <c r="F76">
        <v>90</v>
      </c>
      <c r="G76">
        <v>2</v>
      </c>
      <c r="M76" s="14">
        <v>45595.439884259256</v>
      </c>
      <c r="N76" t="s">
        <v>68</v>
      </c>
      <c r="O76" t="s">
        <v>8</v>
      </c>
      <c r="P76" t="s">
        <v>362</v>
      </c>
      <c r="Q76">
        <v>0.156938358567214</v>
      </c>
      <c r="R76">
        <v>90</v>
      </c>
      <c r="S76">
        <v>2</v>
      </c>
      <c r="X76" s="18">
        <v>45595.465613425928</v>
      </c>
      <c r="Y76" t="s">
        <v>68</v>
      </c>
      <c r="Z76" t="s">
        <v>7</v>
      </c>
      <c r="AA76" t="s">
        <v>363</v>
      </c>
      <c r="AB76">
        <v>0.14896614518941201</v>
      </c>
      <c r="AC76">
        <v>90</v>
      </c>
      <c r="AD76">
        <v>2</v>
      </c>
      <c r="AI76" s="18">
        <v>45595.484837962962</v>
      </c>
      <c r="AJ76" t="s">
        <v>68</v>
      </c>
      <c r="AK76" t="s">
        <v>8</v>
      </c>
      <c r="AL76" t="s">
        <v>364</v>
      </c>
      <c r="AM76">
        <v>0.12818173947401101</v>
      </c>
      <c r="AN76">
        <v>90</v>
      </c>
      <c r="AO76">
        <v>2</v>
      </c>
    </row>
    <row r="77" spans="1:41">
      <c r="A77" s="14">
        <v>45595.412094907406</v>
      </c>
      <c r="B77" t="s">
        <v>68</v>
      </c>
      <c r="C77" t="s">
        <v>8</v>
      </c>
      <c r="D77" t="s">
        <v>365</v>
      </c>
      <c r="E77">
        <v>0.18398738476827101</v>
      </c>
      <c r="F77">
        <v>90</v>
      </c>
      <c r="G77">
        <v>2</v>
      </c>
      <c r="M77" s="14">
        <v>45595.439942129633</v>
      </c>
      <c r="N77" t="s">
        <v>68</v>
      </c>
      <c r="O77" t="s">
        <v>8</v>
      </c>
      <c r="P77" t="s">
        <v>366</v>
      </c>
      <c r="Q77">
        <v>0.15673575420277799</v>
      </c>
      <c r="R77">
        <v>90</v>
      </c>
      <c r="S77">
        <v>2</v>
      </c>
      <c r="X77" s="18">
        <v>45595.465671296297</v>
      </c>
      <c r="Y77" t="s">
        <v>68</v>
      </c>
      <c r="Z77" t="s">
        <v>7</v>
      </c>
      <c r="AA77" t="s">
        <v>367</v>
      </c>
      <c r="AB77">
        <v>0.148866652366312</v>
      </c>
      <c r="AC77">
        <v>90</v>
      </c>
      <c r="AD77">
        <v>2</v>
      </c>
      <c r="AI77" s="18">
        <v>45595.484895833331</v>
      </c>
      <c r="AJ77" t="s">
        <v>68</v>
      </c>
      <c r="AK77" t="s">
        <v>8</v>
      </c>
      <c r="AL77" t="s">
        <v>368</v>
      </c>
      <c r="AM77">
        <v>0.127185834295128</v>
      </c>
      <c r="AN77">
        <v>90</v>
      </c>
      <c r="AO77">
        <v>2</v>
      </c>
    </row>
    <row r="78" spans="1:41">
      <c r="A78" s="14">
        <v>45595.412152777775</v>
      </c>
      <c r="B78" t="s">
        <v>68</v>
      </c>
      <c r="C78" t="s">
        <v>8</v>
      </c>
      <c r="D78" t="s">
        <v>369</v>
      </c>
      <c r="E78">
        <v>0.179428155815051</v>
      </c>
      <c r="F78">
        <v>90</v>
      </c>
      <c r="G78">
        <v>2</v>
      </c>
      <c r="M78" s="14">
        <v>45595.44</v>
      </c>
      <c r="N78" t="s">
        <v>68</v>
      </c>
      <c r="O78" t="s">
        <v>8</v>
      </c>
      <c r="P78" t="s">
        <v>370</v>
      </c>
      <c r="Q78">
        <v>0.15846230731160901</v>
      </c>
      <c r="R78">
        <v>90</v>
      </c>
      <c r="S78">
        <v>2</v>
      </c>
      <c r="X78" s="18">
        <v>45595.465729166666</v>
      </c>
      <c r="Y78" t="s">
        <v>68</v>
      </c>
      <c r="Z78" t="s">
        <v>7</v>
      </c>
      <c r="AA78" t="s">
        <v>371</v>
      </c>
      <c r="AB78">
        <v>0.14837336809694299</v>
      </c>
      <c r="AC78">
        <v>90</v>
      </c>
      <c r="AD78">
        <v>2</v>
      </c>
      <c r="AI78" s="18">
        <v>45595.484953703701</v>
      </c>
      <c r="AJ78" t="s">
        <v>68</v>
      </c>
      <c r="AK78" t="s">
        <v>8</v>
      </c>
      <c r="AL78" t="s">
        <v>372</v>
      </c>
      <c r="AM78">
        <v>0.12734904193944199</v>
      </c>
      <c r="AN78">
        <v>90</v>
      </c>
      <c r="AO78">
        <v>2</v>
      </c>
    </row>
    <row r="79" spans="1:41">
      <c r="A79" s="14">
        <v>45595.412210648145</v>
      </c>
      <c r="B79" t="s">
        <v>68</v>
      </c>
      <c r="C79" t="s">
        <v>8</v>
      </c>
      <c r="D79" t="s">
        <v>373</v>
      </c>
      <c r="E79">
        <v>0.18126163147810401</v>
      </c>
      <c r="F79">
        <v>90</v>
      </c>
      <c r="G79">
        <v>2</v>
      </c>
      <c r="M79" s="14">
        <v>45595.440057870372</v>
      </c>
      <c r="N79" t="s">
        <v>68</v>
      </c>
      <c r="O79" t="s">
        <v>8</v>
      </c>
      <c r="P79" t="s">
        <v>374</v>
      </c>
      <c r="Q79">
        <v>0.15664543113569701</v>
      </c>
      <c r="R79">
        <v>90</v>
      </c>
      <c r="S79">
        <v>2</v>
      </c>
      <c r="X79" s="18">
        <v>45595.465787037036</v>
      </c>
      <c r="Y79" t="s">
        <v>68</v>
      </c>
      <c r="Z79" t="s">
        <v>7</v>
      </c>
      <c r="AA79" t="s">
        <v>375</v>
      </c>
      <c r="AB79">
        <v>0.14961096453238401</v>
      </c>
      <c r="AC79">
        <v>90</v>
      </c>
      <c r="AD79">
        <v>2</v>
      </c>
      <c r="AI79" s="18">
        <v>45595.485011574077</v>
      </c>
      <c r="AJ79" t="s">
        <v>68</v>
      </c>
      <c r="AK79" t="s">
        <v>8</v>
      </c>
      <c r="AL79" t="s">
        <v>376</v>
      </c>
      <c r="AM79">
        <v>0.12790933571322799</v>
      </c>
      <c r="AN79">
        <v>90</v>
      </c>
      <c r="AO79">
        <v>2</v>
      </c>
    </row>
    <row r="80" spans="1:41">
      <c r="A80" s="14">
        <v>45595.412268518521</v>
      </c>
      <c r="B80" t="s">
        <v>68</v>
      </c>
      <c r="C80" t="s">
        <v>8</v>
      </c>
      <c r="D80" t="s">
        <v>377</v>
      </c>
      <c r="E80">
        <v>0.18030573597059399</v>
      </c>
      <c r="F80">
        <v>90</v>
      </c>
      <c r="G80">
        <v>2</v>
      </c>
      <c r="M80" s="14">
        <v>45595.440115740741</v>
      </c>
      <c r="N80" t="s">
        <v>68</v>
      </c>
      <c r="O80" t="s">
        <v>8</v>
      </c>
      <c r="P80" t="s">
        <v>378</v>
      </c>
      <c r="Q80">
        <v>0.158952724420346</v>
      </c>
      <c r="R80">
        <v>90</v>
      </c>
      <c r="S80">
        <v>2</v>
      </c>
      <c r="X80" s="18">
        <v>45595.465844907405</v>
      </c>
      <c r="Y80" t="s">
        <v>68</v>
      </c>
      <c r="Z80" t="s">
        <v>7</v>
      </c>
      <c r="AA80" t="s">
        <v>379</v>
      </c>
      <c r="AB80">
        <v>0.14907654682284299</v>
      </c>
      <c r="AC80">
        <v>90</v>
      </c>
      <c r="AD80">
        <v>2</v>
      </c>
      <c r="AI80" s="18">
        <v>45595.485069444447</v>
      </c>
      <c r="AJ80" t="s">
        <v>68</v>
      </c>
      <c r="AK80" t="s">
        <v>8</v>
      </c>
      <c r="AL80" t="s">
        <v>380</v>
      </c>
      <c r="AM80">
        <v>0.12587910272225999</v>
      </c>
      <c r="AN80">
        <v>90</v>
      </c>
      <c r="AO80">
        <v>2</v>
      </c>
    </row>
    <row r="81" spans="1:41">
      <c r="A81" s="14">
        <v>45595.412326388891</v>
      </c>
      <c r="B81" t="s">
        <v>68</v>
      </c>
      <c r="C81" t="s">
        <v>8</v>
      </c>
      <c r="D81" t="s">
        <v>381</v>
      </c>
      <c r="E81">
        <v>0.182230735748172</v>
      </c>
      <c r="F81">
        <v>90</v>
      </c>
      <c r="G81">
        <v>2</v>
      </c>
      <c r="M81" s="14">
        <v>45595.44017361111</v>
      </c>
      <c r="N81" t="s">
        <v>68</v>
      </c>
      <c r="O81" t="s">
        <v>8</v>
      </c>
      <c r="P81" t="s">
        <v>382</v>
      </c>
      <c r="Q81">
        <v>0.15707335281646201</v>
      </c>
      <c r="R81">
        <v>90</v>
      </c>
      <c r="S81">
        <v>2</v>
      </c>
      <c r="X81" s="18">
        <v>45595.465902777774</v>
      </c>
      <c r="Y81" t="s">
        <v>68</v>
      </c>
      <c r="Z81" t="s">
        <v>7</v>
      </c>
      <c r="AA81" t="s">
        <v>383</v>
      </c>
      <c r="AB81">
        <v>0.15170512682847401</v>
      </c>
      <c r="AC81">
        <v>90</v>
      </c>
      <c r="AD81">
        <v>2</v>
      </c>
      <c r="AI81" s="18">
        <v>45595.485127314816</v>
      </c>
      <c r="AJ81" t="s">
        <v>68</v>
      </c>
      <c r="AK81" t="s">
        <v>8</v>
      </c>
      <c r="AL81" t="s">
        <v>384</v>
      </c>
      <c r="AM81">
        <v>0.127339569335049</v>
      </c>
      <c r="AN81">
        <v>90</v>
      </c>
      <c r="AO81">
        <v>2</v>
      </c>
    </row>
    <row r="82" spans="1:41">
      <c r="A82" s="14">
        <v>45595.41238425926</v>
      </c>
      <c r="B82" t="s">
        <v>68</v>
      </c>
      <c r="C82" t="s">
        <v>8</v>
      </c>
      <c r="D82" t="s">
        <v>385</v>
      </c>
      <c r="E82">
        <v>0.18648461092209001</v>
      </c>
      <c r="F82">
        <v>90</v>
      </c>
      <c r="G82">
        <v>2</v>
      </c>
      <c r="M82" s="14">
        <v>45595.44023148148</v>
      </c>
      <c r="N82" t="s">
        <v>68</v>
      </c>
      <c r="O82" t="s">
        <v>8</v>
      </c>
      <c r="P82" t="s">
        <v>386</v>
      </c>
      <c r="Q82">
        <v>0.157059993227429</v>
      </c>
      <c r="R82">
        <v>90</v>
      </c>
      <c r="S82">
        <v>2</v>
      </c>
      <c r="X82" s="18">
        <v>45595.465960648151</v>
      </c>
      <c r="Y82" t="s">
        <v>68</v>
      </c>
      <c r="Z82" t="s">
        <v>7</v>
      </c>
      <c r="AA82" t="s">
        <v>387</v>
      </c>
      <c r="AB82">
        <v>0.15214523670493299</v>
      </c>
      <c r="AC82">
        <v>90</v>
      </c>
      <c r="AD82">
        <v>2</v>
      </c>
      <c r="AI82" s="18">
        <v>45595.485185185185</v>
      </c>
      <c r="AJ82" t="s">
        <v>68</v>
      </c>
      <c r="AK82" t="s">
        <v>8</v>
      </c>
      <c r="AL82" t="s">
        <v>388</v>
      </c>
      <c r="AM82">
        <v>0.12718870292291701</v>
      </c>
      <c r="AN82">
        <v>90</v>
      </c>
      <c r="AO82">
        <v>2</v>
      </c>
    </row>
    <row r="83" spans="1:41">
      <c r="A83" s="14">
        <v>45595.412442129629</v>
      </c>
      <c r="B83" t="s">
        <v>68</v>
      </c>
      <c r="C83" t="s">
        <v>8</v>
      </c>
      <c r="D83" t="s">
        <v>389</v>
      </c>
      <c r="E83">
        <v>0.18543738935159501</v>
      </c>
      <c r="F83">
        <v>90</v>
      </c>
      <c r="G83">
        <v>2</v>
      </c>
      <c r="M83" s="14">
        <v>45595.440289351849</v>
      </c>
      <c r="N83" t="s">
        <v>68</v>
      </c>
      <c r="O83" t="s">
        <v>8</v>
      </c>
      <c r="P83" t="s">
        <v>390</v>
      </c>
      <c r="Q83">
        <v>0.15695372991024401</v>
      </c>
      <c r="R83">
        <v>90</v>
      </c>
      <c r="S83">
        <v>2</v>
      </c>
      <c r="X83" s="18">
        <v>45595.46601851852</v>
      </c>
      <c r="Y83" t="s">
        <v>68</v>
      </c>
      <c r="Z83" t="s">
        <v>7</v>
      </c>
      <c r="AA83" t="s">
        <v>391</v>
      </c>
      <c r="AB83">
        <v>0.15084184323265801</v>
      </c>
      <c r="AC83">
        <v>90</v>
      </c>
      <c r="AD83">
        <v>2</v>
      </c>
      <c r="AI83" s="18">
        <v>45595.485243055555</v>
      </c>
      <c r="AJ83" t="s">
        <v>68</v>
      </c>
      <c r="AK83" t="s">
        <v>8</v>
      </c>
      <c r="AL83" t="s">
        <v>392</v>
      </c>
      <c r="AM83">
        <v>0.12784726324815399</v>
      </c>
      <c r="AN83">
        <v>90</v>
      </c>
      <c r="AO83">
        <v>2</v>
      </c>
    </row>
    <row r="84" spans="1:41">
      <c r="A84" s="14">
        <v>45595.412499999999</v>
      </c>
      <c r="B84" t="s">
        <v>68</v>
      </c>
      <c r="C84" t="s">
        <v>8</v>
      </c>
      <c r="D84" t="s">
        <v>393</v>
      </c>
      <c r="E84">
        <v>0.18185383426437501</v>
      </c>
      <c r="F84">
        <v>90</v>
      </c>
      <c r="G84">
        <v>2</v>
      </c>
      <c r="M84" s="14">
        <v>45595.440347222226</v>
      </c>
      <c r="N84" t="s">
        <v>68</v>
      </c>
      <c r="O84" t="s">
        <v>8</v>
      </c>
      <c r="P84" t="s">
        <v>394</v>
      </c>
      <c r="Q84">
        <v>0.15996360713371299</v>
      </c>
      <c r="R84">
        <v>90</v>
      </c>
      <c r="S84">
        <v>2</v>
      </c>
      <c r="X84" s="18">
        <v>45595.46607638889</v>
      </c>
      <c r="Y84" t="s">
        <v>68</v>
      </c>
      <c r="Z84" t="s">
        <v>7</v>
      </c>
      <c r="AA84" t="s">
        <v>395</v>
      </c>
      <c r="AB84">
        <v>0.150090297488048</v>
      </c>
      <c r="AC84">
        <v>90</v>
      </c>
      <c r="AD84">
        <v>2</v>
      </c>
      <c r="AI84" s="18">
        <v>45595.485300925924</v>
      </c>
      <c r="AJ84" t="s">
        <v>68</v>
      </c>
      <c r="AK84" t="s">
        <v>8</v>
      </c>
      <c r="AL84" t="s">
        <v>396</v>
      </c>
      <c r="AM84">
        <v>0.126887004357602</v>
      </c>
      <c r="AN84">
        <v>90</v>
      </c>
      <c r="AO84">
        <v>2</v>
      </c>
    </row>
    <row r="85" spans="1:41">
      <c r="A85" s="14">
        <v>45595.412557870368</v>
      </c>
      <c r="B85" t="s">
        <v>68</v>
      </c>
      <c r="C85" t="s">
        <v>8</v>
      </c>
      <c r="D85" t="s">
        <v>397</v>
      </c>
      <c r="E85">
        <v>0.18264636642131499</v>
      </c>
      <c r="F85">
        <v>90</v>
      </c>
      <c r="G85">
        <v>2</v>
      </c>
      <c r="M85" s="14">
        <v>45595.440405092595</v>
      </c>
      <c r="N85" t="s">
        <v>68</v>
      </c>
      <c r="O85" t="s">
        <v>8</v>
      </c>
      <c r="P85" t="s">
        <v>398</v>
      </c>
      <c r="Q85">
        <v>0.163160477530752</v>
      </c>
      <c r="R85">
        <v>90</v>
      </c>
      <c r="S85">
        <v>2</v>
      </c>
      <c r="X85" s="18">
        <v>45595.466134259259</v>
      </c>
      <c r="Y85" t="s">
        <v>68</v>
      </c>
      <c r="Z85" t="s">
        <v>7</v>
      </c>
      <c r="AA85" t="s">
        <v>399</v>
      </c>
      <c r="AB85">
        <v>0.15035680974212901</v>
      </c>
      <c r="AC85">
        <v>90</v>
      </c>
      <c r="AD85">
        <v>2</v>
      </c>
      <c r="AI85" s="18">
        <v>45595.485358796293</v>
      </c>
      <c r="AJ85" t="s">
        <v>68</v>
      </c>
      <c r="AK85" t="s">
        <v>8</v>
      </c>
      <c r="AL85" t="s">
        <v>400</v>
      </c>
      <c r="AM85">
        <v>0.129508694462556</v>
      </c>
      <c r="AN85">
        <v>90</v>
      </c>
      <c r="AO85">
        <v>2</v>
      </c>
    </row>
    <row r="86" spans="1:41">
      <c r="A86" s="14">
        <v>45595.412615740737</v>
      </c>
      <c r="B86" t="s">
        <v>68</v>
      </c>
      <c r="C86" t="s">
        <v>8</v>
      </c>
      <c r="D86" t="s">
        <v>401</v>
      </c>
      <c r="E86">
        <v>0.18237473167530199</v>
      </c>
      <c r="F86">
        <v>90</v>
      </c>
      <c r="G86">
        <v>2</v>
      </c>
      <c r="M86" s="14">
        <v>45595.440462962964</v>
      </c>
      <c r="N86" t="s">
        <v>68</v>
      </c>
      <c r="O86" t="s">
        <v>8</v>
      </c>
      <c r="P86" t="s">
        <v>402</v>
      </c>
      <c r="Q86">
        <v>0.15772316824437799</v>
      </c>
      <c r="R86">
        <v>90</v>
      </c>
      <c r="S86">
        <v>2</v>
      </c>
      <c r="X86" s="18">
        <v>45595.466192129628</v>
      </c>
      <c r="Y86" t="s">
        <v>68</v>
      </c>
      <c r="Z86" t="s">
        <v>7</v>
      </c>
      <c r="AA86" t="s">
        <v>403</v>
      </c>
      <c r="AB86">
        <v>0.14768297532039301</v>
      </c>
      <c r="AC86">
        <v>90</v>
      </c>
      <c r="AD86">
        <v>2</v>
      </c>
      <c r="AI86" s="18">
        <v>45595.48541666667</v>
      </c>
      <c r="AJ86" t="s">
        <v>68</v>
      </c>
      <c r="AK86" t="s">
        <v>8</v>
      </c>
      <c r="AL86" t="s">
        <v>404</v>
      </c>
      <c r="AM86">
        <v>0.12871327600284199</v>
      </c>
      <c r="AN86">
        <v>90</v>
      </c>
      <c r="AO86">
        <v>2</v>
      </c>
    </row>
    <row r="87" spans="1:41">
      <c r="A87" s="14">
        <v>45595.412673611114</v>
      </c>
      <c r="B87" t="s">
        <v>68</v>
      </c>
      <c r="C87" t="s">
        <v>8</v>
      </c>
      <c r="D87" t="s">
        <v>405</v>
      </c>
      <c r="E87">
        <v>0.18534650638078601</v>
      </c>
      <c r="F87">
        <v>90</v>
      </c>
      <c r="G87">
        <v>2</v>
      </c>
      <c r="M87" s="14">
        <v>45595.440520833334</v>
      </c>
      <c r="N87" t="s">
        <v>68</v>
      </c>
      <c r="O87" t="s">
        <v>8</v>
      </c>
      <c r="P87" t="s">
        <v>406</v>
      </c>
      <c r="Q87">
        <v>0.15976175149895699</v>
      </c>
      <c r="R87">
        <v>90</v>
      </c>
      <c r="S87">
        <v>2</v>
      </c>
      <c r="X87" s="18">
        <v>45595.466249999998</v>
      </c>
      <c r="Y87" t="s">
        <v>68</v>
      </c>
      <c r="Z87" t="s">
        <v>7</v>
      </c>
      <c r="AA87" t="s">
        <v>407</v>
      </c>
      <c r="AB87">
        <v>0.14918074529823799</v>
      </c>
      <c r="AC87">
        <v>90</v>
      </c>
      <c r="AD87">
        <v>2</v>
      </c>
      <c r="AI87" s="18">
        <v>45595.485474537039</v>
      </c>
      <c r="AJ87" t="s">
        <v>68</v>
      </c>
      <c r="AK87" t="s">
        <v>8</v>
      </c>
      <c r="AL87" t="s">
        <v>408</v>
      </c>
      <c r="AM87">
        <v>0.12972784725367301</v>
      </c>
      <c r="AN87">
        <v>90</v>
      </c>
      <c r="AO87">
        <v>2</v>
      </c>
    </row>
    <row r="88" spans="1:41">
      <c r="A88" s="14">
        <v>45595.412731481483</v>
      </c>
      <c r="B88" t="s">
        <v>68</v>
      </c>
      <c r="C88" t="s">
        <v>8</v>
      </c>
      <c r="D88" t="s">
        <v>409</v>
      </c>
      <c r="E88">
        <v>0.183667721836273</v>
      </c>
      <c r="F88">
        <v>90</v>
      </c>
      <c r="G88">
        <v>2</v>
      </c>
      <c r="M88" s="14">
        <v>45595.440578703703</v>
      </c>
      <c r="N88" t="s">
        <v>68</v>
      </c>
      <c r="O88" t="s">
        <v>8</v>
      </c>
      <c r="P88" t="s">
        <v>410</v>
      </c>
      <c r="Q88">
        <v>0.15893561878375001</v>
      </c>
      <c r="R88">
        <v>90</v>
      </c>
      <c r="S88">
        <v>2</v>
      </c>
      <c r="X88" s="18">
        <v>45595.466307870367</v>
      </c>
      <c r="Y88" t="s">
        <v>68</v>
      </c>
      <c r="Z88" t="s">
        <v>7</v>
      </c>
      <c r="AA88" t="s">
        <v>411</v>
      </c>
      <c r="AB88">
        <v>0.14858860544000299</v>
      </c>
      <c r="AC88">
        <v>90</v>
      </c>
      <c r="AD88">
        <v>2</v>
      </c>
      <c r="AI88" s="18">
        <v>45595.485532407409</v>
      </c>
      <c r="AJ88" t="s">
        <v>68</v>
      </c>
      <c r="AK88" t="s">
        <v>8</v>
      </c>
      <c r="AL88" t="s">
        <v>412</v>
      </c>
      <c r="AM88">
        <v>0.12963667931369199</v>
      </c>
      <c r="AN88">
        <v>90</v>
      </c>
      <c r="AO88">
        <v>2</v>
      </c>
    </row>
    <row r="89" spans="1:41">
      <c r="A89" s="14">
        <v>45595.412789351853</v>
      </c>
      <c r="B89" t="s">
        <v>68</v>
      </c>
      <c r="C89" t="s">
        <v>8</v>
      </c>
      <c r="D89" t="s">
        <v>413</v>
      </c>
      <c r="E89">
        <v>0.18471102254694399</v>
      </c>
      <c r="F89">
        <v>90</v>
      </c>
      <c r="G89">
        <v>2</v>
      </c>
      <c r="M89" s="14">
        <v>45595.440636574072</v>
      </c>
      <c r="N89" t="s">
        <v>68</v>
      </c>
      <c r="O89" t="s">
        <v>8</v>
      </c>
      <c r="P89" t="s">
        <v>414</v>
      </c>
      <c r="Q89">
        <v>0.15784663545653799</v>
      </c>
      <c r="R89">
        <v>90</v>
      </c>
      <c r="S89">
        <v>2</v>
      </c>
      <c r="X89" s="18">
        <v>45595.466365740744</v>
      </c>
      <c r="Y89" t="s">
        <v>68</v>
      </c>
      <c r="Z89" t="s">
        <v>7</v>
      </c>
      <c r="AA89" t="s">
        <v>415</v>
      </c>
      <c r="AB89">
        <v>0.14912641069309601</v>
      </c>
      <c r="AC89">
        <v>90</v>
      </c>
      <c r="AD89">
        <v>2</v>
      </c>
      <c r="AI89" s="18">
        <v>45595.485590277778</v>
      </c>
      <c r="AJ89" t="s">
        <v>68</v>
      </c>
      <c r="AK89" t="s">
        <v>8</v>
      </c>
      <c r="AL89" t="s">
        <v>416</v>
      </c>
      <c r="AM89">
        <v>0.12701547282832401</v>
      </c>
      <c r="AN89">
        <v>90</v>
      </c>
      <c r="AO89">
        <v>2</v>
      </c>
    </row>
    <row r="90" spans="1:41">
      <c r="A90" s="14">
        <v>45595.412847222222</v>
      </c>
      <c r="B90" t="s">
        <v>68</v>
      </c>
      <c r="C90" t="s">
        <v>8</v>
      </c>
      <c r="D90" t="s">
        <v>417</v>
      </c>
      <c r="E90">
        <v>0.18279582086384299</v>
      </c>
      <c r="F90">
        <v>90</v>
      </c>
      <c r="G90">
        <v>2</v>
      </c>
      <c r="M90" s="14">
        <v>45595.440694444442</v>
      </c>
      <c r="N90" t="s">
        <v>68</v>
      </c>
      <c r="O90" t="s">
        <v>8</v>
      </c>
      <c r="P90" t="s">
        <v>418</v>
      </c>
      <c r="Q90">
        <v>0.161203344472265</v>
      </c>
      <c r="R90">
        <v>90</v>
      </c>
      <c r="S90">
        <v>2</v>
      </c>
      <c r="X90" s="18">
        <v>45595.466423611113</v>
      </c>
      <c r="Y90" t="s">
        <v>68</v>
      </c>
      <c r="Z90" t="s">
        <v>7</v>
      </c>
      <c r="AA90" t="s">
        <v>419</v>
      </c>
      <c r="AB90">
        <v>0.14783691306204999</v>
      </c>
      <c r="AC90">
        <v>90</v>
      </c>
      <c r="AD90">
        <v>2</v>
      </c>
      <c r="AI90" s="18">
        <v>45595.485879629632</v>
      </c>
      <c r="AJ90" t="s">
        <v>68</v>
      </c>
      <c r="AK90" t="s">
        <v>9</v>
      </c>
      <c r="AL90" t="s">
        <v>420</v>
      </c>
      <c r="AM90">
        <v>0.24505712784497299</v>
      </c>
      <c r="AN90">
        <v>90</v>
      </c>
      <c r="AO90">
        <v>2</v>
      </c>
    </row>
    <row r="91" spans="1:41">
      <c r="A91" s="14">
        <v>45595.412905092591</v>
      </c>
      <c r="B91" t="s">
        <v>68</v>
      </c>
      <c r="C91" t="s">
        <v>8</v>
      </c>
      <c r="D91" t="s">
        <v>421</v>
      </c>
      <c r="E91">
        <v>0.181395837323579</v>
      </c>
      <c r="F91">
        <v>90</v>
      </c>
      <c r="G91">
        <v>2</v>
      </c>
      <c r="M91" s="14">
        <v>45595.441111111111</v>
      </c>
      <c r="N91" t="s">
        <v>68</v>
      </c>
      <c r="O91" t="s">
        <v>9</v>
      </c>
      <c r="P91" t="s">
        <v>422</v>
      </c>
      <c r="Q91">
        <v>0.30681898712434802</v>
      </c>
      <c r="R91">
        <v>90</v>
      </c>
      <c r="S91">
        <v>2</v>
      </c>
      <c r="X91" s="18">
        <v>45595.466481481482</v>
      </c>
      <c r="Y91" t="s">
        <v>68</v>
      </c>
      <c r="Z91" t="s">
        <v>7</v>
      </c>
      <c r="AA91" t="s">
        <v>423</v>
      </c>
      <c r="AB91">
        <v>0.15034893179171999</v>
      </c>
      <c r="AC91">
        <v>90</v>
      </c>
      <c r="AD91">
        <v>2</v>
      </c>
      <c r="AI91" s="18">
        <v>45595.485937500001</v>
      </c>
      <c r="AJ91" t="s">
        <v>68</v>
      </c>
      <c r="AK91" t="s">
        <v>9</v>
      </c>
      <c r="AL91" t="s">
        <v>424</v>
      </c>
      <c r="AM91">
        <v>0.243022431862775</v>
      </c>
      <c r="AN91">
        <v>90</v>
      </c>
      <c r="AO91">
        <v>2</v>
      </c>
    </row>
    <row r="92" spans="1:41">
      <c r="A92" s="14">
        <v>45595.412962962961</v>
      </c>
      <c r="B92" t="s">
        <v>68</v>
      </c>
      <c r="C92" t="s">
        <v>8</v>
      </c>
      <c r="D92" t="s">
        <v>425</v>
      </c>
      <c r="E92">
        <v>0.18363631090885099</v>
      </c>
      <c r="F92">
        <v>90</v>
      </c>
      <c r="G92">
        <v>2</v>
      </c>
      <c r="M92" s="14">
        <v>45595.441168981481</v>
      </c>
      <c r="N92" t="s">
        <v>68</v>
      </c>
      <c r="O92" t="s">
        <v>9</v>
      </c>
      <c r="P92" t="s">
        <v>426</v>
      </c>
      <c r="Q92">
        <v>0.307018968044798</v>
      </c>
      <c r="R92">
        <v>90</v>
      </c>
      <c r="S92">
        <v>2</v>
      </c>
      <c r="X92" s="18">
        <v>45595.466539351852</v>
      </c>
      <c r="Y92" t="s">
        <v>68</v>
      </c>
      <c r="Z92" t="s">
        <v>7</v>
      </c>
      <c r="AA92" t="s">
        <v>427</v>
      </c>
      <c r="AB92">
        <v>0.14978851585311401</v>
      </c>
      <c r="AC92">
        <v>90</v>
      </c>
      <c r="AD92">
        <v>2</v>
      </c>
      <c r="AI92" s="18">
        <v>45595.485995370371</v>
      </c>
      <c r="AJ92" t="s">
        <v>68</v>
      </c>
      <c r="AK92" t="s">
        <v>9</v>
      </c>
      <c r="AL92" t="s">
        <v>428</v>
      </c>
      <c r="AM92">
        <v>0.241742397570433</v>
      </c>
      <c r="AN92">
        <v>90</v>
      </c>
      <c r="AO92">
        <v>2</v>
      </c>
    </row>
    <row r="93" spans="1:41">
      <c r="A93" s="14">
        <v>45595.41302083333</v>
      </c>
      <c r="B93" t="s">
        <v>68</v>
      </c>
      <c r="C93" t="s">
        <v>8</v>
      </c>
      <c r="D93" t="s">
        <v>429</v>
      </c>
      <c r="E93">
        <v>0.180622411228613</v>
      </c>
      <c r="F93">
        <v>90</v>
      </c>
      <c r="G93">
        <v>2</v>
      </c>
      <c r="M93" s="14">
        <v>45595.44122685185</v>
      </c>
      <c r="N93" t="s">
        <v>68</v>
      </c>
      <c r="O93" t="s">
        <v>9</v>
      </c>
      <c r="P93" t="s">
        <v>430</v>
      </c>
      <c r="Q93">
        <v>0.30437673097400703</v>
      </c>
      <c r="R93">
        <v>90</v>
      </c>
      <c r="S93">
        <v>2</v>
      </c>
      <c r="X93" s="18">
        <v>45595.466597222221</v>
      </c>
      <c r="Y93" t="s">
        <v>68</v>
      </c>
      <c r="Z93" t="s">
        <v>7</v>
      </c>
      <c r="AA93" t="s">
        <v>431</v>
      </c>
      <c r="AB93">
        <v>0.15094568013828399</v>
      </c>
      <c r="AC93">
        <v>90</v>
      </c>
      <c r="AD93">
        <v>2</v>
      </c>
      <c r="AI93" s="18">
        <v>45595.48605324074</v>
      </c>
      <c r="AJ93" t="s">
        <v>68</v>
      </c>
      <c r="AK93" t="s">
        <v>9</v>
      </c>
      <c r="AL93" t="s">
        <v>432</v>
      </c>
      <c r="AM93">
        <v>0.24095173819163701</v>
      </c>
      <c r="AN93">
        <v>90</v>
      </c>
      <c r="AO93">
        <v>2</v>
      </c>
    </row>
    <row r="94" spans="1:41">
      <c r="A94" s="14">
        <v>45595.413078703707</v>
      </c>
      <c r="B94" t="s">
        <v>68</v>
      </c>
      <c r="C94" t="s">
        <v>8</v>
      </c>
      <c r="D94" t="s">
        <v>433</v>
      </c>
      <c r="E94">
        <v>0.183450468179573</v>
      </c>
      <c r="F94">
        <v>90</v>
      </c>
      <c r="G94">
        <v>2</v>
      </c>
      <c r="M94" s="14">
        <v>45595.441284722219</v>
      </c>
      <c r="N94" t="s">
        <v>68</v>
      </c>
      <c r="O94" t="s">
        <v>9</v>
      </c>
      <c r="P94" t="s">
        <v>434</v>
      </c>
      <c r="Q94">
        <v>0.30504197735889899</v>
      </c>
      <c r="R94">
        <v>90</v>
      </c>
      <c r="S94">
        <v>2</v>
      </c>
      <c r="X94" s="18">
        <v>45595.46665509259</v>
      </c>
      <c r="Y94" t="s">
        <v>68</v>
      </c>
      <c r="Z94" t="s">
        <v>7</v>
      </c>
      <c r="AA94" t="s">
        <v>435</v>
      </c>
      <c r="AB94">
        <v>0.14869759747466599</v>
      </c>
      <c r="AC94">
        <v>90</v>
      </c>
      <c r="AD94">
        <v>2</v>
      </c>
      <c r="AI94" s="18">
        <v>45595.486111111109</v>
      </c>
      <c r="AJ94" t="s">
        <v>68</v>
      </c>
      <c r="AK94" t="s">
        <v>9</v>
      </c>
      <c r="AL94" t="s">
        <v>436</v>
      </c>
      <c r="AM94">
        <v>0.23959640721477099</v>
      </c>
      <c r="AN94">
        <v>90</v>
      </c>
      <c r="AO94">
        <v>2</v>
      </c>
    </row>
    <row r="95" spans="1:41">
      <c r="A95" s="14">
        <v>45595.413136574076</v>
      </c>
      <c r="B95" t="s">
        <v>68</v>
      </c>
      <c r="C95" t="s">
        <v>8</v>
      </c>
      <c r="D95" t="s">
        <v>437</v>
      </c>
      <c r="E95">
        <v>0.182777554882461</v>
      </c>
      <c r="F95">
        <v>90</v>
      </c>
      <c r="G95">
        <v>2</v>
      </c>
      <c r="M95" s="14">
        <v>45595.441342592596</v>
      </c>
      <c r="N95" t="s">
        <v>68</v>
      </c>
      <c r="O95" t="s">
        <v>9</v>
      </c>
      <c r="P95" t="s">
        <v>438</v>
      </c>
      <c r="Q95">
        <v>0.303006937128386</v>
      </c>
      <c r="R95">
        <v>90</v>
      </c>
      <c r="S95">
        <v>2</v>
      </c>
      <c r="X95" s="18">
        <v>45595.46671296296</v>
      </c>
      <c r="Y95" t="s">
        <v>68</v>
      </c>
      <c r="Z95" t="s">
        <v>7</v>
      </c>
      <c r="AA95" t="s">
        <v>439</v>
      </c>
      <c r="AB95">
        <v>0.151000037591113</v>
      </c>
      <c r="AC95">
        <v>90</v>
      </c>
      <c r="AD95">
        <v>2</v>
      </c>
      <c r="AI95" s="18">
        <v>45595.486168981479</v>
      </c>
      <c r="AJ95" t="s">
        <v>68</v>
      </c>
      <c r="AK95" t="s">
        <v>9</v>
      </c>
      <c r="AL95" t="s">
        <v>440</v>
      </c>
      <c r="AM95">
        <v>0.23969540833090999</v>
      </c>
      <c r="AN95">
        <v>90</v>
      </c>
      <c r="AO95">
        <v>2</v>
      </c>
    </row>
    <row r="96" spans="1:41">
      <c r="A96" s="14">
        <v>45595.413194444445</v>
      </c>
      <c r="B96" t="s">
        <v>68</v>
      </c>
      <c r="C96" t="s">
        <v>8</v>
      </c>
      <c r="D96" t="s">
        <v>441</v>
      </c>
      <c r="E96">
        <v>0.18209019099452101</v>
      </c>
      <c r="F96">
        <v>90</v>
      </c>
      <c r="G96">
        <v>2</v>
      </c>
      <c r="M96" s="14">
        <v>45595.441400462965</v>
      </c>
      <c r="N96" t="s">
        <v>68</v>
      </c>
      <c r="O96" t="s">
        <v>9</v>
      </c>
      <c r="P96" t="s">
        <v>442</v>
      </c>
      <c r="Q96">
        <v>0.30054600313070101</v>
      </c>
      <c r="R96">
        <v>90</v>
      </c>
      <c r="S96">
        <v>2</v>
      </c>
      <c r="X96" s="18">
        <v>45595.466770833336</v>
      </c>
      <c r="Y96" t="s">
        <v>68</v>
      </c>
      <c r="Z96" t="s">
        <v>7</v>
      </c>
      <c r="AA96" t="s">
        <v>443</v>
      </c>
      <c r="AB96">
        <v>0.14857837576395799</v>
      </c>
      <c r="AC96">
        <v>90</v>
      </c>
      <c r="AD96">
        <v>2</v>
      </c>
      <c r="AI96" s="18">
        <v>45595.486226851855</v>
      </c>
      <c r="AJ96" t="s">
        <v>68</v>
      </c>
      <c r="AK96" t="s">
        <v>9</v>
      </c>
      <c r="AL96" t="s">
        <v>444</v>
      </c>
      <c r="AM96">
        <v>0.239761385903066</v>
      </c>
      <c r="AN96">
        <v>90</v>
      </c>
      <c r="AO96">
        <v>2</v>
      </c>
    </row>
    <row r="97" spans="1:41">
      <c r="A97" s="14">
        <v>45595.413252314815</v>
      </c>
      <c r="B97" t="s">
        <v>68</v>
      </c>
      <c r="C97" t="s">
        <v>8</v>
      </c>
      <c r="D97" t="s">
        <v>445</v>
      </c>
      <c r="E97">
        <v>0.184745129406793</v>
      </c>
      <c r="F97">
        <v>90</v>
      </c>
      <c r="G97">
        <v>2</v>
      </c>
      <c r="M97" s="14">
        <v>45595.441458333335</v>
      </c>
      <c r="N97" t="s">
        <v>68</v>
      </c>
      <c r="O97" t="s">
        <v>9</v>
      </c>
      <c r="P97" t="s">
        <v>446</v>
      </c>
      <c r="Q97">
        <v>0.30206009584138999</v>
      </c>
      <c r="R97">
        <v>90</v>
      </c>
      <c r="S97">
        <v>2</v>
      </c>
      <c r="X97" s="18">
        <v>45595.466828703706</v>
      </c>
      <c r="Y97" t="s">
        <v>68</v>
      </c>
      <c r="Z97" t="s">
        <v>7</v>
      </c>
      <c r="AA97" t="s">
        <v>447</v>
      </c>
      <c r="AB97">
        <v>0.15050706408595099</v>
      </c>
      <c r="AC97">
        <v>90</v>
      </c>
      <c r="AD97">
        <v>2</v>
      </c>
      <c r="AI97" s="18">
        <v>45595.486284722225</v>
      </c>
      <c r="AJ97" t="s">
        <v>68</v>
      </c>
      <c r="AK97" t="s">
        <v>9</v>
      </c>
      <c r="AL97" t="s">
        <v>448</v>
      </c>
      <c r="AM97">
        <v>0.24099586645062199</v>
      </c>
      <c r="AN97">
        <v>90</v>
      </c>
      <c r="AO97">
        <v>2</v>
      </c>
    </row>
    <row r="98" spans="1:41">
      <c r="A98" s="14">
        <v>45595.413310185184</v>
      </c>
      <c r="B98" t="s">
        <v>68</v>
      </c>
      <c r="C98" t="s">
        <v>8</v>
      </c>
      <c r="D98" t="s">
        <v>449</v>
      </c>
      <c r="E98">
        <v>0.18238849067059801</v>
      </c>
      <c r="F98">
        <v>90</v>
      </c>
      <c r="G98">
        <v>2</v>
      </c>
      <c r="M98" s="14">
        <v>45595.441516203704</v>
      </c>
      <c r="N98" t="s">
        <v>68</v>
      </c>
      <c r="O98" t="s">
        <v>9</v>
      </c>
      <c r="P98" t="s">
        <v>450</v>
      </c>
      <c r="Q98">
        <v>0.30593915988905401</v>
      </c>
      <c r="R98">
        <v>90</v>
      </c>
      <c r="S98">
        <v>2</v>
      </c>
      <c r="X98" s="18">
        <v>45595.466886574075</v>
      </c>
      <c r="Y98" t="s">
        <v>68</v>
      </c>
      <c r="Z98" t="s">
        <v>7</v>
      </c>
      <c r="AA98" t="s">
        <v>451</v>
      </c>
      <c r="AB98">
        <v>0.151349961282079</v>
      </c>
      <c r="AC98">
        <v>90</v>
      </c>
      <c r="AD98">
        <v>2</v>
      </c>
      <c r="AI98" s="18">
        <v>45595.486342592594</v>
      </c>
      <c r="AJ98" t="s">
        <v>68</v>
      </c>
      <c r="AK98" t="s">
        <v>9</v>
      </c>
      <c r="AL98" t="s">
        <v>452</v>
      </c>
      <c r="AM98">
        <v>0.24388256224385199</v>
      </c>
      <c r="AN98">
        <v>90</v>
      </c>
      <c r="AO98">
        <v>2</v>
      </c>
    </row>
    <row r="99" spans="1:41">
      <c r="A99" s="14">
        <v>45595.413368055553</v>
      </c>
      <c r="B99" t="s">
        <v>68</v>
      </c>
      <c r="C99" t="s">
        <v>8</v>
      </c>
      <c r="D99" t="s">
        <v>453</v>
      </c>
      <c r="E99">
        <v>0.18343930175518</v>
      </c>
      <c r="F99">
        <v>90</v>
      </c>
      <c r="G99">
        <v>2</v>
      </c>
      <c r="M99" s="14">
        <v>45595.441574074073</v>
      </c>
      <c r="N99" t="s">
        <v>68</v>
      </c>
      <c r="O99" t="s">
        <v>9</v>
      </c>
      <c r="P99" t="s">
        <v>454</v>
      </c>
      <c r="Q99">
        <v>0.29465244647412298</v>
      </c>
      <c r="R99">
        <v>90</v>
      </c>
      <c r="S99">
        <v>2</v>
      </c>
      <c r="X99" s="18">
        <v>45595.467129629629</v>
      </c>
      <c r="Y99" t="s">
        <v>68</v>
      </c>
      <c r="Z99" t="s">
        <v>8</v>
      </c>
      <c r="AA99" t="s">
        <v>455</v>
      </c>
      <c r="AB99">
        <v>0.14310508341579001</v>
      </c>
      <c r="AC99">
        <v>90</v>
      </c>
      <c r="AD99">
        <v>2</v>
      </c>
      <c r="AI99" s="18">
        <v>45595.486400462964</v>
      </c>
      <c r="AJ99" t="s">
        <v>68</v>
      </c>
      <c r="AK99" t="s">
        <v>9</v>
      </c>
      <c r="AL99" t="s">
        <v>456</v>
      </c>
      <c r="AM99">
        <v>0.23977274639180299</v>
      </c>
      <c r="AN99">
        <v>90</v>
      </c>
      <c r="AO99">
        <v>2</v>
      </c>
    </row>
    <row r="100" spans="1:41">
      <c r="A100" s="14">
        <v>45595.413425925923</v>
      </c>
      <c r="B100" t="s">
        <v>68</v>
      </c>
      <c r="C100" t="s">
        <v>8</v>
      </c>
      <c r="D100" t="s">
        <v>457</v>
      </c>
      <c r="E100">
        <v>0.18446618967504799</v>
      </c>
      <c r="F100">
        <v>90</v>
      </c>
      <c r="G100">
        <v>2</v>
      </c>
      <c r="M100" s="14">
        <v>45595.441631944443</v>
      </c>
      <c r="N100" t="s">
        <v>68</v>
      </c>
      <c r="O100" t="s">
        <v>9</v>
      </c>
      <c r="P100" t="s">
        <v>458</v>
      </c>
      <c r="Q100">
        <v>0.29871636535460699</v>
      </c>
      <c r="R100">
        <v>90</v>
      </c>
      <c r="S100">
        <v>2</v>
      </c>
      <c r="X100" s="18">
        <v>45595.467187499999</v>
      </c>
      <c r="Y100" t="s">
        <v>68</v>
      </c>
      <c r="Z100" t="s">
        <v>8</v>
      </c>
      <c r="AA100" t="s">
        <v>459</v>
      </c>
      <c r="AB100">
        <v>0.14063295765623701</v>
      </c>
      <c r="AC100">
        <v>90</v>
      </c>
      <c r="AD100">
        <v>2</v>
      </c>
      <c r="AI100" s="18">
        <v>45595.486458333333</v>
      </c>
      <c r="AJ100" t="s">
        <v>68</v>
      </c>
      <c r="AK100" t="s">
        <v>9</v>
      </c>
      <c r="AL100" t="s">
        <v>460</v>
      </c>
      <c r="AM100">
        <v>0.23557517663906999</v>
      </c>
      <c r="AN100">
        <v>90</v>
      </c>
      <c r="AO100">
        <v>2</v>
      </c>
    </row>
    <row r="101" spans="1:41">
      <c r="A101" s="14">
        <v>45595.413483796299</v>
      </c>
      <c r="B101" t="s">
        <v>68</v>
      </c>
      <c r="C101" t="s">
        <v>8</v>
      </c>
      <c r="D101" t="s">
        <v>461</v>
      </c>
      <c r="E101">
        <v>0.18310387593399199</v>
      </c>
      <c r="F101">
        <v>90</v>
      </c>
      <c r="G101">
        <v>2</v>
      </c>
      <c r="M101" s="14">
        <v>45595.441689814812</v>
      </c>
      <c r="N101" t="s">
        <v>68</v>
      </c>
      <c r="O101" t="s">
        <v>9</v>
      </c>
      <c r="P101" t="s">
        <v>462</v>
      </c>
      <c r="Q101">
        <v>0.29444895444136499</v>
      </c>
      <c r="R101">
        <v>90</v>
      </c>
      <c r="S101">
        <v>2</v>
      </c>
      <c r="X101" s="18">
        <v>45595.467245370368</v>
      </c>
      <c r="Y101" t="s">
        <v>68</v>
      </c>
      <c r="Z101" t="s">
        <v>8</v>
      </c>
      <c r="AA101" t="s">
        <v>463</v>
      </c>
      <c r="AB101">
        <v>0.14477744553003699</v>
      </c>
      <c r="AC101">
        <v>90</v>
      </c>
      <c r="AD101">
        <v>2</v>
      </c>
      <c r="AI101" s="18">
        <v>45595.486516203702</v>
      </c>
      <c r="AJ101" t="s">
        <v>68</v>
      </c>
      <c r="AK101" t="s">
        <v>9</v>
      </c>
      <c r="AL101" t="s">
        <v>464</v>
      </c>
      <c r="AM101">
        <v>0.239313896944298</v>
      </c>
      <c r="AN101">
        <v>90</v>
      </c>
      <c r="AO101">
        <v>2</v>
      </c>
    </row>
    <row r="102" spans="1:41">
      <c r="A102" s="14">
        <v>45595.413541666669</v>
      </c>
      <c r="B102" t="s">
        <v>68</v>
      </c>
      <c r="C102" t="s">
        <v>8</v>
      </c>
      <c r="D102" t="s">
        <v>465</v>
      </c>
      <c r="E102">
        <v>0.182417161087188</v>
      </c>
      <c r="F102">
        <v>90</v>
      </c>
      <c r="G102">
        <v>2</v>
      </c>
      <c r="M102" s="14">
        <v>45595.441747685189</v>
      </c>
      <c r="N102" t="s">
        <v>68</v>
      </c>
      <c r="O102" t="s">
        <v>9</v>
      </c>
      <c r="P102" t="s">
        <v>466</v>
      </c>
      <c r="Q102">
        <v>0.30272742376308798</v>
      </c>
      <c r="R102">
        <v>90</v>
      </c>
      <c r="S102">
        <v>2</v>
      </c>
      <c r="X102" s="18">
        <v>45595.467303240737</v>
      </c>
      <c r="Y102" t="s">
        <v>68</v>
      </c>
      <c r="Z102" t="s">
        <v>8</v>
      </c>
      <c r="AA102" t="s">
        <v>467</v>
      </c>
      <c r="AB102">
        <v>0.14278534560165701</v>
      </c>
      <c r="AC102">
        <v>90</v>
      </c>
      <c r="AD102">
        <v>2</v>
      </c>
      <c r="AI102" s="18">
        <v>45595.486574074072</v>
      </c>
      <c r="AJ102" t="s">
        <v>68</v>
      </c>
      <c r="AK102" t="s">
        <v>9</v>
      </c>
      <c r="AL102" t="s">
        <v>468</v>
      </c>
      <c r="AM102">
        <v>0.24353199544859999</v>
      </c>
      <c r="AN102">
        <v>90</v>
      </c>
      <c r="AO102">
        <v>2</v>
      </c>
    </row>
    <row r="103" spans="1:41">
      <c r="A103" s="14">
        <v>45595.413599537038</v>
      </c>
      <c r="B103" t="s">
        <v>68</v>
      </c>
      <c r="C103" t="s">
        <v>8</v>
      </c>
      <c r="D103" t="s">
        <v>469</v>
      </c>
      <c r="E103">
        <v>0.18197377138502899</v>
      </c>
      <c r="F103">
        <v>90</v>
      </c>
      <c r="G103">
        <v>2</v>
      </c>
      <c r="M103" s="14">
        <v>45595.441805555558</v>
      </c>
      <c r="N103" t="s">
        <v>68</v>
      </c>
      <c r="O103" t="s">
        <v>9</v>
      </c>
      <c r="P103" t="s">
        <v>470</v>
      </c>
      <c r="Q103">
        <v>0.29349301564990099</v>
      </c>
      <c r="R103">
        <v>90</v>
      </c>
      <c r="S103">
        <v>2</v>
      </c>
      <c r="X103" s="18">
        <v>45595.467361111114</v>
      </c>
      <c r="Y103" t="s">
        <v>68</v>
      </c>
      <c r="Z103" t="s">
        <v>8</v>
      </c>
      <c r="AA103" t="s">
        <v>471</v>
      </c>
      <c r="AB103">
        <v>0.142543362134605</v>
      </c>
      <c r="AC103">
        <v>90</v>
      </c>
      <c r="AD103">
        <v>2</v>
      </c>
      <c r="AI103" s="18">
        <v>45595.486631944441</v>
      </c>
      <c r="AJ103" t="s">
        <v>68</v>
      </c>
      <c r="AK103" t="s">
        <v>9</v>
      </c>
      <c r="AL103" t="s">
        <v>472</v>
      </c>
      <c r="AM103">
        <v>0.238228920726372</v>
      </c>
      <c r="AN103">
        <v>90</v>
      </c>
      <c r="AO103">
        <v>2</v>
      </c>
    </row>
    <row r="104" spans="1:41">
      <c r="A104" s="14">
        <v>45595.413657407407</v>
      </c>
      <c r="B104" t="s">
        <v>68</v>
      </c>
      <c r="C104" t="s">
        <v>8</v>
      </c>
      <c r="D104" t="s">
        <v>473</v>
      </c>
      <c r="E104">
        <v>0.180138326323838</v>
      </c>
      <c r="F104">
        <v>90</v>
      </c>
      <c r="G104">
        <v>2</v>
      </c>
      <c r="M104" s="14">
        <v>45595.441863425927</v>
      </c>
      <c r="N104" t="s">
        <v>68</v>
      </c>
      <c r="O104" t="s">
        <v>9</v>
      </c>
      <c r="P104" t="s">
        <v>474</v>
      </c>
      <c r="Q104">
        <v>0.29788064317400698</v>
      </c>
      <c r="R104">
        <v>90</v>
      </c>
      <c r="S104">
        <v>2</v>
      </c>
      <c r="X104" s="18">
        <v>45595.467418981483</v>
      </c>
      <c r="Y104" t="s">
        <v>68</v>
      </c>
      <c r="Z104" t="s">
        <v>8</v>
      </c>
      <c r="AA104" t="s">
        <v>475</v>
      </c>
      <c r="AB104">
        <v>0.14456045482153501</v>
      </c>
      <c r="AC104">
        <v>90</v>
      </c>
      <c r="AD104">
        <v>2</v>
      </c>
      <c r="AI104" s="18">
        <v>45595.486689814818</v>
      </c>
      <c r="AJ104" t="s">
        <v>68</v>
      </c>
      <c r="AK104" t="s">
        <v>9</v>
      </c>
      <c r="AL104" t="s">
        <v>476</v>
      </c>
      <c r="AM104">
        <v>0.24395616246778001</v>
      </c>
      <c r="AN104">
        <v>90</v>
      </c>
      <c r="AO104">
        <v>2</v>
      </c>
    </row>
    <row r="105" spans="1:41">
      <c r="A105" s="14">
        <v>45595.413715277777</v>
      </c>
      <c r="B105" t="s">
        <v>68</v>
      </c>
      <c r="C105" t="s">
        <v>8</v>
      </c>
      <c r="D105" t="s">
        <v>477</v>
      </c>
      <c r="E105">
        <v>0.18319863346485099</v>
      </c>
      <c r="F105">
        <v>90</v>
      </c>
      <c r="G105">
        <v>2</v>
      </c>
      <c r="M105" s="14">
        <v>45595.441921296297</v>
      </c>
      <c r="N105" t="s">
        <v>68</v>
      </c>
      <c r="O105" t="s">
        <v>9</v>
      </c>
      <c r="P105" t="s">
        <v>478</v>
      </c>
      <c r="Q105">
        <v>0.30119581059484901</v>
      </c>
      <c r="R105">
        <v>90</v>
      </c>
      <c r="S105">
        <v>2</v>
      </c>
      <c r="X105" s="18">
        <v>45595.467476851853</v>
      </c>
      <c r="Y105" t="s">
        <v>68</v>
      </c>
      <c r="Z105" t="s">
        <v>8</v>
      </c>
      <c r="AA105" t="s">
        <v>479</v>
      </c>
      <c r="AB105">
        <v>0.144568113289952</v>
      </c>
      <c r="AC105">
        <v>90</v>
      </c>
      <c r="AD105">
        <v>2</v>
      </c>
      <c r="AI105" s="18">
        <v>45595.486747685187</v>
      </c>
      <c r="AJ105" t="s">
        <v>68</v>
      </c>
      <c r="AK105" t="s">
        <v>9</v>
      </c>
      <c r="AL105" t="s">
        <v>480</v>
      </c>
      <c r="AM105">
        <v>0.24400021723048501</v>
      </c>
      <c r="AN105">
        <v>90</v>
      </c>
      <c r="AO105">
        <v>2</v>
      </c>
    </row>
    <row r="106" spans="1:41">
      <c r="A106" s="14">
        <v>45595.413773148146</v>
      </c>
      <c r="B106" t="s">
        <v>68</v>
      </c>
      <c r="C106" t="s">
        <v>8</v>
      </c>
      <c r="D106" t="s">
        <v>481</v>
      </c>
      <c r="E106">
        <v>0.18237673516455399</v>
      </c>
      <c r="F106">
        <v>90</v>
      </c>
      <c r="G106">
        <v>2</v>
      </c>
      <c r="M106" s="14">
        <v>45595.441979166666</v>
      </c>
      <c r="N106" t="s">
        <v>68</v>
      </c>
      <c r="O106" t="s">
        <v>9</v>
      </c>
      <c r="P106" t="s">
        <v>482</v>
      </c>
      <c r="Q106">
        <v>0.30406063164452402</v>
      </c>
      <c r="R106">
        <v>90</v>
      </c>
      <c r="S106">
        <v>2</v>
      </c>
      <c r="X106" s="18">
        <v>45595.467534722222</v>
      </c>
      <c r="Y106" t="s">
        <v>68</v>
      </c>
      <c r="Z106" t="s">
        <v>8</v>
      </c>
      <c r="AA106" t="s">
        <v>483</v>
      </c>
      <c r="AB106">
        <v>0.142424468282254</v>
      </c>
      <c r="AC106">
        <v>90</v>
      </c>
      <c r="AD106">
        <v>2</v>
      </c>
      <c r="AI106" s="18">
        <v>45595.486805555556</v>
      </c>
      <c r="AJ106" t="s">
        <v>68</v>
      </c>
      <c r="AK106" t="s">
        <v>9</v>
      </c>
      <c r="AL106" t="s">
        <v>484</v>
      </c>
      <c r="AM106">
        <v>0.24438650974394999</v>
      </c>
      <c r="AN106">
        <v>90</v>
      </c>
      <c r="AO106">
        <v>2</v>
      </c>
    </row>
    <row r="107" spans="1:41">
      <c r="A107" s="14">
        <v>45595.413831018515</v>
      </c>
      <c r="B107" t="s">
        <v>68</v>
      </c>
      <c r="C107" t="s">
        <v>8</v>
      </c>
      <c r="D107" t="s">
        <v>485</v>
      </c>
      <c r="E107">
        <v>0.185157784152508</v>
      </c>
      <c r="F107">
        <v>90</v>
      </c>
      <c r="G107">
        <v>2</v>
      </c>
      <c r="M107" s="14">
        <v>45595.442037037035</v>
      </c>
      <c r="N107" t="s">
        <v>68</v>
      </c>
      <c r="O107" t="s">
        <v>9</v>
      </c>
      <c r="P107" t="s">
        <v>486</v>
      </c>
      <c r="Q107">
        <v>0.30331432901778099</v>
      </c>
      <c r="R107">
        <v>90</v>
      </c>
      <c r="S107">
        <v>2</v>
      </c>
      <c r="X107" s="18">
        <v>45595.467592592591</v>
      </c>
      <c r="Y107" t="s">
        <v>68</v>
      </c>
      <c r="Z107" t="s">
        <v>8</v>
      </c>
      <c r="AA107" t="s">
        <v>487</v>
      </c>
      <c r="AB107">
        <v>0.145621348850689</v>
      </c>
      <c r="AC107">
        <v>90</v>
      </c>
      <c r="AD107">
        <v>2</v>
      </c>
      <c r="AI107" s="18">
        <v>45595.486863425926</v>
      </c>
      <c r="AJ107" t="s">
        <v>68</v>
      </c>
      <c r="AK107" t="s">
        <v>9</v>
      </c>
      <c r="AL107" t="s">
        <v>488</v>
      </c>
      <c r="AM107">
        <v>0.24254271303129399</v>
      </c>
      <c r="AN107">
        <v>90</v>
      </c>
      <c r="AO107">
        <v>2</v>
      </c>
    </row>
    <row r="108" spans="1:41">
      <c r="A108" s="14">
        <v>45595.413888888892</v>
      </c>
      <c r="B108" t="s">
        <v>68</v>
      </c>
      <c r="C108" t="s">
        <v>8</v>
      </c>
      <c r="D108" t="s">
        <v>489</v>
      </c>
      <c r="E108">
        <v>0.18661214653361999</v>
      </c>
      <c r="F108">
        <v>90</v>
      </c>
      <c r="G108">
        <v>2</v>
      </c>
      <c r="M108" s="14">
        <v>45595.442094907405</v>
      </c>
      <c r="N108" t="s">
        <v>68</v>
      </c>
      <c r="O108" t="s">
        <v>9</v>
      </c>
      <c r="P108" t="s">
        <v>490</v>
      </c>
      <c r="Q108">
        <v>0.30329389660105999</v>
      </c>
      <c r="R108">
        <v>90</v>
      </c>
      <c r="S108">
        <v>2</v>
      </c>
      <c r="X108" s="18">
        <v>45595.467650462961</v>
      </c>
      <c r="Y108" t="s">
        <v>68</v>
      </c>
      <c r="Z108" t="s">
        <v>8</v>
      </c>
      <c r="AA108" t="s">
        <v>491</v>
      </c>
      <c r="AB108">
        <v>0.14339949937467</v>
      </c>
      <c r="AC108">
        <v>90</v>
      </c>
      <c r="AD108">
        <v>2</v>
      </c>
      <c r="AI108" s="18">
        <v>45595.486921296295</v>
      </c>
      <c r="AJ108" t="s">
        <v>68</v>
      </c>
      <c r="AK108" t="s">
        <v>9</v>
      </c>
      <c r="AL108" t="s">
        <v>492</v>
      </c>
      <c r="AM108">
        <v>0.242353631739648</v>
      </c>
      <c r="AN108">
        <v>90</v>
      </c>
      <c r="AO108">
        <v>2</v>
      </c>
    </row>
    <row r="109" spans="1:41">
      <c r="A109" s="14">
        <v>45595.413946759261</v>
      </c>
      <c r="B109" t="s">
        <v>68</v>
      </c>
      <c r="C109" t="s">
        <v>8</v>
      </c>
      <c r="D109" t="s">
        <v>493</v>
      </c>
      <c r="E109">
        <v>0.18267933083915999</v>
      </c>
      <c r="F109">
        <v>90</v>
      </c>
      <c r="G109">
        <v>2</v>
      </c>
      <c r="M109" s="14">
        <v>45595.442152777781</v>
      </c>
      <c r="N109" t="s">
        <v>68</v>
      </c>
      <c r="O109" t="s">
        <v>9</v>
      </c>
      <c r="P109" t="s">
        <v>494</v>
      </c>
      <c r="Q109">
        <v>0.30785035960152402</v>
      </c>
      <c r="R109">
        <v>90</v>
      </c>
      <c r="S109">
        <v>2</v>
      </c>
      <c r="X109" s="18">
        <v>45595.46770833333</v>
      </c>
      <c r="Y109" t="s">
        <v>68</v>
      </c>
      <c r="Z109" t="s">
        <v>8</v>
      </c>
      <c r="AA109" t="s">
        <v>495</v>
      </c>
      <c r="AB109">
        <v>0.14390243722589399</v>
      </c>
      <c r="AC109">
        <v>90</v>
      </c>
      <c r="AD109">
        <v>2</v>
      </c>
      <c r="AI109" s="18">
        <v>45595.486979166664</v>
      </c>
      <c r="AJ109" t="s">
        <v>68</v>
      </c>
      <c r="AK109" t="s">
        <v>9</v>
      </c>
      <c r="AL109" t="s">
        <v>496</v>
      </c>
      <c r="AM109">
        <v>0.23844644320619099</v>
      </c>
      <c r="AN109">
        <v>90</v>
      </c>
      <c r="AO109">
        <v>2</v>
      </c>
    </row>
    <row r="110" spans="1:41">
      <c r="A110" s="14">
        <v>45595.414004629631</v>
      </c>
      <c r="B110" t="s">
        <v>68</v>
      </c>
      <c r="C110" t="s">
        <v>8</v>
      </c>
      <c r="D110" t="s">
        <v>497</v>
      </c>
      <c r="E110">
        <v>0.183638202181263</v>
      </c>
      <c r="F110">
        <v>90</v>
      </c>
      <c r="G110">
        <v>2</v>
      </c>
      <c r="M110" s="14">
        <v>45595.442210648151</v>
      </c>
      <c r="N110" t="s">
        <v>68</v>
      </c>
      <c r="O110" t="s">
        <v>9</v>
      </c>
      <c r="P110" t="s">
        <v>498</v>
      </c>
      <c r="Q110">
        <v>0.30675568910543199</v>
      </c>
      <c r="R110">
        <v>90</v>
      </c>
      <c r="S110">
        <v>2</v>
      </c>
      <c r="X110" s="18">
        <v>45595.467766203707</v>
      </c>
      <c r="Y110" t="s">
        <v>68</v>
      </c>
      <c r="Z110" t="s">
        <v>8</v>
      </c>
      <c r="AA110" t="s">
        <v>499</v>
      </c>
      <c r="AB110">
        <v>0.14256443787850301</v>
      </c>
      <c r="AC110">
        <v>90</v>
      </c>
      <c r="AD110">
        <v>2</v>
      </c>
      <c r="AI110" s="18">
        <v>45595.487037037034</v>
      </c>
      <c r="AJ110" t="s">
        <v>68</v>
      </c>
      <c r="AK110" t="s">
        <v>9</v>
      </c>
      <c r="AL110" t="s">
        <v>500</v>
      </c>
      <c r="AM110">
        <v>0.23860948141132499</v>
      </c>
      <c r="AN110">
        <v>90</v>
      </c>
      <c r="AO110">
        <v>2</v>
      </c>
    </row>
    <row r="111" spans="1:41">
      <c r="A111" s="14">
        <v>45595.4140625</v>
      </c>
      <c r="B111" t="s">
        <v>68</v>
      </c>
      <c r="C111" t="s">
        <v>8</v>
      </c>
      <c r="D111" t="s">
        <v>501</v>
      </c>
      <c r="E111">
        <v>0.183958388422019</v>
      </c>
      <c r="F111">
        <v>90</v>
      </c>
      <c r="G111">
        <v>2</v>
      </c>
      <c r="M111" s="14">
        <v>45595.44226851852</v>
      </c>
      <c r="N111" t="s">
        <v>68</v>
      </c>
      <c r="O111" t="s">
        <v>9</v>
      </c>
      <c r="P111" t="s">
        <v>502</v>
      </c>
      <c r="Q111">
        <v>0.30313430517205098</v>
      </c>
      <c r="R111">
        <v>90</v>
      </c>
      <c r="S111">
        <v>2</v>
      </c>
      <c r="X111" s="18">
        <v>45595.467824074076</v>
      </c>
      <c r="Y111" t="s">
        <v>68</v>
      </c>
      <c r="Z111" t="s">
        <v>8</v>
      </c>
      <c r="AA111" t="s">
        <v>503</v>
      </c>
      <c r="AB111">
        <v>0.14428442374302899</v>
      </c>
      <c r="AC111">
        <v>90</v>
      </c>
      <c r="AD111">
        <v>2</v>
      </c>
      <c r="AI111" s="18">
        <v>45595.48709490741</v>
      </c>
      <c r="AJ111" t="s">
        <v>68</v>
      </c>
      <c r="AK111" t="s">
        <v>9</v>
      </c>
      <c r="AL111" t="s">
        <v>504</v>
      </c>
      <c r="AM111">
        <v>0.23992252143884399</v>
      </c>
      <c r="AN111">
        <v>90</v>
      </c>
      <c r="AO111">
        <v>2</v>
      </c>
    </row>
    <row r="112" spans="1:41">
      <c r="A112" s="14">
        <v>45595.414120370369</v>
      </c>
      <c r="B112" t="s">
        <v>68</v>
      </c>
      <c r="C112" t="s">
        <v>8</v>
      </c>
      <c r="D112" t="s">
        <v>505</v>
      </c>
      <c r="E112">
        <v>0.18131111148322601</v>
      </c>
      <c r="F112">
        <v>90</v>
      </c>
      <c r="G112">
        <v>2</v>
      </c>
      <c r="M112" s="14">
        <v>45595.442326388889</v>
      </c>
      <c r="N112" t="s">
        <v>68</v>
      </c>
      <c r="O112" t="s">
        <v>9</v>
      </c>
      <c r="P112" t="s">
        <v>506</v>
      </c>
      <c r="Q112">
        <v>0.29987862615959798</v>
      </c>
      <c r="R112">
        <v>90</v>
      </c>
      <c r="S112">
        <v>2</v>
      </c>
      <c r="X112" s="18">
        <v>45595.467881944445</v>
      </c>
      <c r="Y112" t="s">
        <v>68</v>
      </c>
      <c r="Z112" t="s">
        <v>8</v>
      </c>
      <c r="AA112" t="s">
        <v>507</v>
      </c>
      <c r="AB112">
        <v>0.14497089494504101</v>
      </c>
      <c r="AC112">
        <v>90</v>
      </c>
      <c r="AD112">
        <v>2</v>
      </c>
      <c r="AI112" s="18">
        <v>45595.48715277778</v>
      </c>
      <c r="AJ112" t="s">
        <v>68</v>
      </c>
      <c r="AK112" t="s">
        <v>9</v>
      </c>
      <c r="AL112" t="s">
        <v>508</v>
      </c>
      <c r="AM112">
        <v>0.239265786041338</v>
      </c>
      <c r="AN112">
        <v>90</v>
      </c>
      <c r="AO112">
        <v>2</v>
      </c>
    </row>
    <row r="113" spans="1:41">
      <c r="A113" s="14">
        <v>45595.414178240739</v>
      </c>
      <c r="B113" t="s">
        <v>68</v>
      </c>
      <c r="C113" t="s">
        <v>8</v>
      </c>
      <c r="D113" t="s">
        <v>509</v>
      </c>
      <c r="E113">
        <v>0.18520694945793301</v>
      </c>
      <c r="F113">
        <v>90</v>
      </c>
      <c r="G113">
        <v>2</v>
      </c>
      <c r="M113" s="14">
        <v>45595.442384259259</v>
      </c>
      <c r="N113" t="s">
        <v>68</v>
      </c>
      <c r="O113" t="s">
        <v>9</v>
      </c>
      <c r="P113" t="s">
        <v>510</v>
      </c>
      <c r="Q113">
        <v>0.29697219110842898</v>
      </c>
      <c r="R113">
        <v>90</v>
      </c>
      <c r="S113">
        <v>2</v>
      </c>
      <c r="X113" s="18">
        <v>45595.467939814815</v>
      </c>
      <c r="Y113" t="s">
        <v>68</v>
      </c>
      <c r="Z113" t="s">
        <v>8</v>
      </c>
      <c r="AA113" t="s">
        <v>511</v>
      </c>
      <c r="AB113">
        <v>0.14143369779817799</v>
      </c>
      <c r="AC113">
        <v>90</v>
      </c>
      <c r="AD113">
        <v>2</v>
      </c>
      <c r="AI113" s="18">
        <v>45595.487210648149</v>
      </c>
      <c r="AJ113" t="s">
        <v>68</v>
      </c>
      <c r="AK113" t="s">
        <v>9</v>
      </c>
      <c r="AL113" t="s">
        <v>512</v>
      </c>
      <c r="AM113">
        <v>0.24256526126429501</v>
      </c>
      <c r="AN113">
        <v>90</v>
      </c>
      <c r="AO113">
        <v>2</v>
      </c>
    </row>
    <row r="114" spans="1:41">
      <c r="A114" s="14">
        <v>45595.414236111108</v>
      </c>
      <c r="B114" t="s">
        <v>68</v>
      </c>
      <c r="C114" t="s">
        <v>8</v>
      </c>
      <c r="D114" t="s">
        <v>513</v>
      </c>
      <c r="E114">
        <v>0.182695032666048</v>
      </c>
      <c r="F114">
        <v>90</v>
      </c>
      <c r="G114">
        <v>2</v>
      </c>
      <c r="M114" s="14">
        <v>45595.442442129628</v>
      </c>
      <c r="N114" t="s">
        <v>68</v>
      </c>
      <c r="O114" t="s">
        <v>9</v>
      </c>
      <c r="P114" t="s">
        <v>514</v>
      </c>
      <c r="Q114">
        <v>0.30032000135072801</v>
      </c>
      <c r="R114">
        <v>90</v>
      </c>
      <c r="S114">
        <v>2</v>
      </c>
      <c r="X114" s="18">
        <v>45595.467997685184</v>
      </c>
      <c r="Y114" t="s">
        <v>68</v>
      </c>
      <c r="Z114" t="s">
        <v>8</v>
      </c>
      <c r="AA114" t="s">
        <v>515</v>
      </c>
      <c r="AB114">
        <v>0.143048649281316</v>
      </c>
      <c r="AC114">
        <v>90</v>
      </c>
      <c r="AD114">
        <v>2</v>
      </c>
      <c r="AI114" s="18">
        <v>45595.487268518518</v>
      </c>
      <c r="AJ114" t="s">
        <v>68</v>
      </c>
      <c r="AK114" t="s">
        <v>9</v>
      </c>
      <c r="AL114" t="s">
        <v>516</v>
      </c>
      <c r="AM114">
        <v>0.24650461928432399</v>
      </c>
      <c r="AN114">
        <v>90</v>
      </c>
      <c r="AO114">
        <v>2</v>
      </c>
    </row>
    <row r="115" spans="1:41">
      <c r="A115" s="14">
        <v>45595.414293981485</v>
      </c>
      <c r="B115" t="s">
        <v>68</v>
      </c>
      <c r="C115" t="s">
        <v>8</v>
      </c>
      <c r="D115" t="s">
        <v>517</v>
      </c>
      <c r="E115">
        <v>0.18414015855524199</v>
      </c>
      <c r="F115">
        <v>90</v>
      </c>
      <c r="G115">
        <v>2</v>
      </c>
      <c r="M115" s="14">
        <v>45595.442499999997</v>
      </c>
      <c r="N115" t="s">
        <v>68</v>
      </c>
      <c r="O115" t="s">
        <v>9</v>
      </c>
      <c r="P115" t="s">
        <v>518</v>
      </c>
      <c r="Q115">
        <v>0.29999546218610801</v>
      </c>
      <c r="R115">
        <v>90</v>
      </c>
      <c r="S115">
        <v>2</v>
      </c>
      <c r="X115" s="18">
        <v>45595.468055555553</v>
      </c>
      <c r="Y115" t="s">
        <v>68</v>
      </c>
      <c r="Z115" t="s">
        <v>8</v>
      </c>
      <c r="AA115" t="s">
        <v>519</v>
      </c>
      <c r="AB115">
        <v>0.14655986580017499</v>
      </c>
      <c r="AC115">
        <v>90</v>
      </c>
      <c r="AD115">
        <v>2</v>
      </c>
      <c r="AI115" s="18">
        <v>45595.487326388888</v>
      </c>
      <c r="AJ115" t="s">
        <v>68</v>
      </c>
      <c r="AK115" t="s">
        <v>9</v>
      </c>
      <c r="AL115" t="s">
        <v>520</v>
      </c>
      <c r="AM115">
        <v>0.244053127911916</v>
      </c>
      <c r="AN115">
        <v>90</v>
      </c>
      <c r="AO115">
        <v>2</v>
      </c>
    </row>
    <row r="116" spans="1:41">
      <c r="A116" s="14">
        <v>45595.414351851854</v>
      </c>
      <c r="B116" t="s">
        <v>68</v>
      </c>
      <c r="C116" t="s">
        <v>8</v>
      </c>
      <c r="D116" t="s">
        <v>521</v>
      </c>
      <c r="E116">
        <v>0.18487721238698601</v>
      </c>
      <c r="F116">
        <v>90</v>
      </c>
      <c r="G116">
        <v>2</v>
      </c>
      <c r="M116" s="14">
        <v>45595.442557870374</v>
      </c>
      <c r="N116" t="s">
        <v>68</v>
      </c>
      <c r="O116" t="s">
        <v>9</v>
      </c>
      <c r="P116" t="s">
        <v>522</v>
      </c>
      <c r="Q116">
        <v>0.29976779726401298</v>
      </c>
      <c r="R116">
        <v>90</v>
      </c>
      <c r="S116">
        <v>2</v>
      </c>
      <c r="X116" s="18">
        <v>45595.468113425923</v>
      </c>
      <c r="Y116" t="s">
        <v>68</v>
      </c>
      <c r="Z116" t="s">
        <v>8</v>
      </c>
      <c r="AA116" t="s">
        <v>523</v>
      </c>
      <c r="AB116">
        <v>0.144990422563643</v>
      </c>
      <c r="AC116">
        <v>90</v>
      </c>
      <c r="AD116">
        <v>2</v>
      </c>
      <c r="AI116" s="18">
        <v>45595.487384259257</v>
      </c>
      <c r="AJ116" t="s">
        <v>68</v>
      </c>
      <c r="AK116" t="s">
        <v>9</v>
      </c>
      <c r="AL116" t="s">
        <v>524</v>
      </c>
      <c r="AM116">
        <v>0.2435190718404</v>
      </c>
      <c r="AN116">
        <v>90</v>
      </c>
      <c r="AO116">
        <v>2</v>
      </c>
    </row>
    <row r="117" spans="1:41">
      <c r="A117" s="14">
        <v>45595.414409722223</v>
      </c>
      <c r="B117" t="s">
        <v>68</v>
      </c>
      <c r="C117" t="s">
        <v>8</v>
      </c>
      <c r="D117" t="s">
        <v>525</v>
      </c>
      <c r="E117">
        <v>0.18175002393404899</v>
      </c>
      <c r="F117">
        <v>90</v>
      </c>
      <c r="G117">
        <v>2</v>
      </c>
      <c r="M117" s="14">
        <v>45595.442615740743</v>
      </c>
      <c r="N117" t="s">
        <v>68</v>
      </c>
      <c r="O117" t="s">
        <v>9</v>
      </c>
      <c r="P117" t="s">
        <v>526</v>
      </c>
      <c r="Q117">
        <v>0.30482176842639402</v>
      </c>
      <c r="R117">
        <v>90</v>
      </c>
      <c r="S117">
        <v>2</v>
      </c>
      <c r="X117" s="18">
        <v>45595.468171296299</v>
      </c>
      <c r="Y117" t="s">
        <v>68</v>
      </c>
      <c r="Z117" t="s">
        <v>8</v>
      </c>
      <c r="AA117" t="s">
        <v>527</v>
      </c>
      <c r="AB117">
        <v>0.144651310411195</v>
      </c>
      <c r="AC117">
        <v>90</v>
      </c>
      <c r="AD117">
        <v>2</v>
      </c>
      <c r="AI117" s="18">
        <v>45595.487442129626</v>
      </c>
      <c r="AJ117" t="s">
        <v>68</v>
      </c>
      <c r="AK117" t="s">
        <v>9</v>
      </c>
      <c r="AL117" t="s">
        <v>528</v>
      </c>
      <c r="AM117">
        <v>0.24513451020972701</v>
      </c>
      <c r="AN117">
        <v>90</v>
      </c>
      <c r="AO117">
        <v>2</v>
      </c>
    </row>
    <row r="118" spans="1:41">
      <c r="A118" s="14">
        <v>45595.414467592593</v>
      </c>
      <c r="B118" t="s">
        <v>68</v>
      </c>
      <c r="C118" t="s">
        <v>8</v>
      </c>
      <c r="D118" t="s">
        <v>529</v>
      </c>
      <c r="E118">
        <v>0.182671146049767</v>
      </c>
      <c r="F118">
        <v>90</v>
      </c>
      <c r="G118">
        <v>2</v>
      </c>
      <c r="M118" s="14">
        <v>45595.442673611113</v>
      </c>
      <c r="N118" t="s">
        <v>68</v>
      </c>
      <c r="O118" t="s">
        <v>9</v>
      </c>
      <c r="P118" t="s">
        <v>530</v>
      </c>
      <c r="Q118">
        <v>0.30628389889823698</v>
      </c>
      <c r="R118">
        <v>90</v>
      </c>
      <c r="S118">
        <v>2</v>
      </c>
      <c r="X118" s="18">
        <v>45595.468229166669</v>
      </c>
      <c r="Y118" t="s">
        <v>68</v>
      </c>
      <c r="Z118" t="s">
        <v>8</v>
      </c>
      <c r="AA118" t="s">
        <v>531</v>
      </c>
      <c r="AB118">
        <v>0.145629939426454</v>
      </c>
      <c r="AC118">
        <v>90</v>
      </c>
      <c r="AD118">
        <v>2</v>
      </c>
      <c r="AI118" s="18">
        <v>45595.487500000003</v>
      </c>
      <c r="AJ118" t="s">
        <v>68</v>
      </c>
      <c r="AK118" t="s">
        <v>9</v>
      </c>
      <c r="AL118" t="s">
        <v>532</v>
      </c>
      <c r="AM118">
        <v>0.245330473931821</v>
      </c>
      <c r="AN118">
        <v>90</v>
      </c>
      <c r="AO118">
        <v>2</v>
      </c>
    </row>
    <row r="119" spans="1:41">
      <c r="A119" s="14">
        <v>45595.414872685185</v>
      </c>
      <c r="B119" t="s">
        <v>68</v>
      </c>
      <c r="C119" t="s">
        <v>9</v>
      </c>
      <c r="D119" t="s">
        <v>533</v>
      </c>
      <c r="E119">
        <v>0.35014675586222899</v>
      </c>
      <c r="F119">
        <v>90</v>
      </c>
      <c r="G119">
        <v>2</v>
      </c>
      <c r="M119" s="14">
        <v>45595.442731481482</v>
      </c>
      <c r="N119" t="s">
        <v>68</v>
      </c>
      <c r="O119" t="s">
        <v>9</v>
      </c>
      <c r="P119" t="s">
        <v>534</v>
      </c>
      <c r="Q119">
        <v>0.29856969369944503</v>
      </c>
      <c r="R119">
        <v>90</v>
      </c>
      <c r="S119">
        <v>2</v>
      </c>
      <c r="X119" s="18">
        <v>45595.468287037038</v>
      </c>
      <c r="Y119" t="s">
        <v>68</v>
      </c>
      <c r="Z119" t="s">
        <v>8</v>
      </c>
      <c r="AA119" t="s">
        <v>535</v>
      </c>
      <c r="AB119">
        <v>0.14297387686640001</v>
      </c>
      <c r="AC119">
        <v>90</v>
      </c>
      <c r="AD119">
        <v>2</v>
      </c>
      <c r="AI119" s="18">
        <v>45595.487557870372</v>
      </c>
      <c r="AJ119" t="s">
        <v>68</v>
      </c>
      <c r="AK119" t="s">
        <v>9</v>
      </c>
      <c r="AL119" t="s">
        <v>536</v>
      </c>
      <c r="AM119">
        <v>0.242252215153551</v>
      </c>
      <c r="AN119">
        <v>90</v>
      </c>
      <c r="AO119">
        <v>2</v>
      </c>
    </row>
    <row r="120" spans="1:41">
      <c r="A120" s="14">
        <v>45595.414930555555</v>
      </c>
      <c r="B120" t="s">
        <v>68</v>
      </c>
      <c r="C120" t="s">
        <v>9</v>
      </c>
      <c r="D120" t="s">
        <v>537</v>
      </c>
      <c r="E120">
        <v>0.35027204989181898</v>
      </c>
      <c r="F120">
        <v>90</v>
      </c>
      <c r="G120">
        <v>2</v>
      </c>
      <c r="M120" s="14">
        <v>45595.442789351851</v>
      </c>
      <c r="N120" t="s">
        <v>68</v>
      </c>
      <c r="O120" t="s">
        <v>9</v>
      </c>
      <c r="P120" t="s">
        <v>538</v>
      </c>
      <c r="Q120">
        <v>0.29945246716080898</v>
      </c>
      <c r="R120">
        <v>90</v>
      </c>
      <c r="S120">
        <v>2</v>
      </c>
      <c r="X120" s="18">
        <v>45595.468344907407</v>
      </c>
      <c r="Y120" t="s">
        <v>68</v>
      </c>
      <c r="Z120" t="s">
        <v>8</v>
      </c>
      <c r="AA120" t="s">
        <v>539</v>
      </c>
      <c r="AB120">
        <v>0.141446129457027</v>
      </c>
      <c r="AC120">
        <v>90</v>
      </c>
      <c r="AD120">
        <v>2</v>
      </c>
      <c r="AI120" s="18">
        <v>45595.487615740742</v>
      </c>
      <c r="AJ120" t="s">
        <v>68</v>
      </c>
      <c r="AK120" t="s">
        <v>9</v>
      </c>
      <c r="AL120" t="s">
        <v>540</v>
      </c>
      <c r="AM120">
        <v>0.24048772075567601</v>
      </c>
      <c r="AN120">
        <v>90</v>
      </c>
      <c r="AO120">
        <v>2</v>
      </c>
    </row>
    <row r="121" spans="1:41">
      <c r="A121" s="14">
        <v>45595.414988425924</v>
      </c>
      <c r="B121" t="s">
        <v>68</v>
      </c>
      <c r="C121" t="s">
        <v>9</v>
      </c>
      <c r="D121" t="s">
        <v>541</v>
      </c>
      <c r="E121">
        <v>0.35175189502762899</v>
      </c>
      <c r="F121">
        <v>90</v>
      </c>
      <c r="G121">
        <v>2</v>
      </c>
      <c r="X121" s="18">
        <v>45595.468402777777</v>
      </c>
      <c r="Y121" t="s">
        <v>68</v>
      </c>
      <c r="Z121" t="s">
        <v>8</v>
      </c>
      <c r="AA121" t="s">
        <v>542</v>
      </c>
      <c r="AB121">
        <v>0.14220110927928201</v>
      </c>
      <c r="AC121">
        <v>90</v>
      </c>
      <c r="AD121">
        <v>2</v>
      </c>
      <c r="AI121" s="18">
        <v>45595.487673611111</v>
      </c>
      <c r="AJ121" t="s">
        <v>68</v>
      </c>
      <c r="AK121" t="s">
        <v>9</v>
      </c>
      <c r="AL121" t="s">
        <v>543</v>
      </c>
      <c r="AM121">
        <v>0.24308263019315099</v>
      </c>
      <c r="AN121">
        <v>90</v>
      </c>
      <c r="AO121">
        <v>2</v>
      </c>
    </row>
    <row r="122" spans="1:41">
      <c r="A122" s="14">
        <v>45595.415046296293</v>
      </c>
      <c r="B122" t="s">
        <v>68</v>
      </c>
      <c r="C122" t="s">
        <v>9</v>
      </c>
      <c r="D122" t="s">
        <v>544</v>
      </c>
      <c r="E122">
        <v>0.34781368809541902</v>
      </c>
      <c r="F122">
        <v>90</v>
      </c>
      <c r="G122">
        <v>2</v>
      </c>
      <c r="X122" s="18">
        <v>45595.468460648146</v>
      </c>
      <c r="Y122" t="s">
        <v>68</v>
      </c>
      <c r="Z122" t="s">
        <v>8</v>
      </c>
      <c r="AA122" t="s">
        <v>545</v>
      </c>
      <c r="AB122">
        <v>0.144135727436878</v>
      </c>
      <c r="AC122">
        <v>90</v>
      </c>
      <c r="AD122">
        <v>2</v>
      </c>
      <c r="AI122" s="18">
        <v>45595.48773148148</v>
      </c>
      <c r="AJ122" t="s">
        <v>68</v>
      </c>
      <c r="AK122" t="s">
        <v>9</v>
      </c>
      <c r="AL122" t="s">
        <v>546</v>
      </c>
      <c r="AM122">
        <v>0.245092614399959</v>
      </c>
      <c r="AN122">
        <v>90</v>
      </c>
      <c r="AO122">
        <v>2</v>
      </c>
    </row>
    <row r="123" spans="1:41">
      <c r="A123" s="14">
        <v>45595.41510416667</v>
      </c>
      <c r="B123" t="s">
        <v>68</v>
      </c>
      <c r="C123" t="s">
        <v>9</v>
      </c>
      <c r="D123" t="s">
        <v>547</v>
      </c>
      <c r="E123">
        <v>0.35053102278934101</v>
      </c>
      <c r="F123">
        <v>90</v>
      </c>
      <c r="G123">
        <v>2</v>
      </c>
      <c r="X123" s="18">
        <v>45595.468518518515</v>
      </c>
      <c r="Y123" t="s">
        <v>68</v>
      </c>
      <c r="Z123" t="s">
        <v>8</v>
      </c>
      <c r="AA123" t="s">
        <v>548</v>
      </c>
      <c r="AB123">
        <v>0.14387529019429399</v>
      </c>
      <c r="AC123">
        <v>90</v>
      </c>
      <c r="AD123">
        <v>2</v>
      </c>
      <c r="AI123" s="18">
        <v>45595.48778935185</v>
      </c>
      <c r="AJ123" t="s">
        <v>68</v>
      </c>
      <c r="AK123" t="s">
        <v>9</v>
      </c>
      <c r="AL123" t="s">
        <v>549</v>
      </c>
      <c r="AM123">
        <v>0.24835608210363</v>
      </c>
      <c r="AN123">
        <v>90</v>
      </c>
      <c r="AO123">
        <v>2</v>
      </c>
    </row>
    <row r="124" spans="1:41">
      <c r="A124" s="14">
        <v>45595.415162037039</v>
      </c>
      <c r="B124" t="s">
        <v>68</v>
      </c>
      <c r="C124" t="s">
        <v>9</v>
      </c>
      <c r="D124" t="s">
        <v>550</v>
      </c>
      <c r="E124">
        <v>0.34974138091888202</v>
      </c>
      <c r="F124">
        <v>90</v>
      </c>
      <c r="G124">
        <v>2</v>
      </c>
      <c r="X124" s="18">
        <v>45595.468576388892</v>
      </c>
      <c r="Y124" t="s">
        <v>68</v>
      </c>
      <c r="Z124" t="s">
        <v>8</v>
      </c>
      <c r="AA124" t="s">
        <v>551</v>
      </c>
      <c r="AB124">
        <v>0.144374270279374</v>
      </c>
      <c r="AC124">
        <v>90</v>
      </c>
      <c r="AD124">
        <v>2</v>
      </c>
      <c r="AI124" s="18">
        <v>45595.487847222219</v>
      </c>
      <c r="AJ124" t="s">
        <v>68</v>
      </c>
      <c r="AK124" t="s">
        <v>9</v>
      </c>
      <c r="AL124" t="s">
        <v>552</v>
      </c>
      <c r="AM124">
        <v>0.24222078730291799</v>
      </c>
      <c r="AN124">
        <v>90</v>
      </c>
      <c r="AO124">
        <v>2</v>
      </c>
    </row>
    <row r="125" spans="1:41">
      <c r="A125" s="14">
        <v>45595.415219907409</v>
      </c>
      <c r="B125" t="s">
        <v>68</v>
      </c>
      <c r="C125" t="s">
        <v>9</v>
      </c>
      <c r="D125" t="s">
        <v>553</v>
      </c>
      <c r="E125">
        <v>0.34645475496039801</v>
      </c>
      <c r="F125">
        <v>90</v>
      </c>
      <c r="G125">
        <v>2</v>
      </c>
      <c r="X125" s="18">
        <v>45595.468634259261</v>
      </c>
      <c r="Y125" t="s">
        <v>68</v>
      </c>
      <c r="Z125" t="s">
        <v>8</v>
      </c>
      <c r="AA125" t="s">
        <v>554</v>
      </c>
      <c r="AB125">
        <v>0.145074677040714</v>
      </c>
      <c r="AC125">
        <v>90</v>
      </c>
      <c r="AD125">
        <v>2</v>
      </c>
      <c r="AI125" s="18">
        <v>45595.487905092596</v>
      </c>
      <c r="AJ125" t="s">
        <v>68</v>
      </c>
      <c r="AK125" t="s">
        <v>9</v>
      </c>
      <c r="AL125" t="s">
        <v>555</v>
      </c>
      <c r="AM125">
        <v>0.24742001447960801</v>
      </c>
      <c r="AN125">
        <v>90</v>
      </c>
      <c r="AO125">
        <v>2</v>
      </c>
    </row>
    <row r="126" spans="1:41">
      <c r="A126" s="14">
        <v>45595.415277777778</v>
      </c>
      <c r="B126" t="s">
        <v>68</v>
      </c>
      <c r="C126" t="s">
        <v>9</v>
      </c>
      <c r="D126" t="s">
        <v>556</v>
      </c>
      <c r="E126">
        <v>0.340977428141369</v>
      </c>
      <c r="F126">
        <v>90</v>
      </c>
      <c r="G126">
        <v>2</v>
      </c>
      <c r="X126" s="18">
        <v>45595.468692129631</v>
      </c>
      <c r="Y126" t="s">
        <v>68</v>
      </c>
      <c r="Z126" t="s">
        <v>8</v>
      </c>
      <c r="AA126" t="s">
        <v>557</v>
      </c>
      <c r="AB126">
        <v>0.14474017037534401</v>
      </c>
      <c r="AC126">
        <v>90</v>
      </c>
      <c r="AD126">
        <v>2</v>
      </c>
      <c r="AI126" s="18">
        <v>45595.487962962965</v>
      </c>
      <c r="AJ126" t="s">
        <v>68</v>
      </c>
      <c r="AK126" t="s">
        <v>9</v>
      </c>
      <c r="AL126" t="s">
        <v>558</v>
      </c>
      <c r="AM126">
        <v>0.24703680981080101</v>
      </c>
      <c r="AN126">
        <v>90</v>
      </c>
      <c r="AO126">
        <v>2</v>
      </c>
    </row>
    <row r="127" spans="1:41">
      <c r="A127" s="14">
        <v>45595.415335648147</v>
      </c>
      <c r="B127" t="s">
        <v>68</v>
      </c>
      <c r="C127" t="s">
        <v>9</v>
      </c>
      <c r="D127" t="s">
        <v>559</v>
      </c>
      <c r="E127">
        <v>0.34562421212611</v>
      </c>
      <c r="F127">
        <v>90</v>
      </c>
      <c r="G127">
        <v>2</v>
      </c>
      <c r="X127" s="18">
        <v>45595.46875</v>
      </c>
      <c r="Y127" t="s">
        <v>68</v>
      </c>
      <c r="Z127" t="s">
        <v>8</v>
      </c>
      <c r="AA127" t="s">
        <v>560</v>
      </c>
      <c r="AB127">
        <v>0.143961879855803</v>
      </c>
      <c r="AC127">
        <v>90</v>
      </c>
      <c r="AD127">
        <v>2</v>
      </c>
      <c r="AI127" s="18">
        <v>45595.488020833334</v>
      </c>
      <c r="AJ127" t="s">
        <v>68</v>
      </c>
      <c r="AK127" t="s">
        <v>9</v>
      </c>
      <c r="AL127" t="s">
        <v>561</v>
      </c>
      <c r="AM127">
        <v>0.241863725530508</v>
      </c>
      <c r="AN127">
        <v>90</v>
      </c>
      <c r="AO127">
        <v>2</v>
      </c>
    </row>
    <row r="128" spans="1:41">
      <c r="A128" s="14">
        <v>45595.415393518517</v>
      </c>
      <c r="B128" t="s">
        <v>68</v>
      </c>
      <c r="C128" t="s">
        <v>9</v>
      </c>
      <c r="D128" t="s">
        <v>562</v>
      </c>
      <c r="E128">
        <v>0.342938524898181</v>
      </c>
      <c r="F128">
        <v>90</v>
      </c>
      <c r="G128">
        <v>2</v>
      </c>
      <c r="X128" s="18">
        <v>45595.468807870369</v>
      </c>
      <c r="Y128" t="s">
        <v>68</v>
      </c>
      <c r="Z128" t="s">
        <v>8</v>
      </c>
      <c r="AA128" t="s">
        <v>563</v>
      </c>
      <c r="AB128">
        <v>0.144076441512796</v>
      </c>
      <c r="AC128">
        <v>90</v>
      </c>
      <c r="AD128">
        <v>2</v>
      </c>
      <c r="AI128" s="18">
        <v>45595.488078703704</v>
      </c>
      <c r="AJ128" t="s">
        <v>68</v>
      </c>
      <c r="AK128" t="s">
        <v>9</v>
      </c>
      <c r="AL128" t="s">
        <v>564</v>
      </c>
      <c r="AM128">
        <v>0.24361106201048899</v>
      </c>
      <c r="AN128">
        <v>90</v>
      </c>
      <c r="AO128">
        <v>2</v>
      </c>
    </row>
    <row r="129" spans="1:41">
      <c r="A129" s="14">
        <v>45595.415451388886</v>
      </c>
      <c r="B129" t="s">
        <v>68</v>
      </c>
      <c r="C129" t="s">
        <v>9</v>
      </c>
      <c r="D129" t="s">
        <v>565</v>
      </c>
      <c r="E129">
        <v>0.35174155779224903</v>
      </c>
      <c r="F129">
        <v>90</v>
      </c>
      <c r="G129">
        <v>2</v>
      </c>
      <c r="X129" s="18">
        <v>45595.468865740739</v>
      </c>
      <c r="Y129" t="s">
        <v>68</v>
      </c>
      <c r="Z129" t="s">
        <v>8</v>
      </c>
      <c r="AA129" t="s">
        <v>566</v>
      </c>
      <c r="AB129">
        <v>0.144572748462067</v>
      </c>
      <c r="AC129">
        <v>90</v>
      </c>
      <c r="AD129">
        <v>2</v>
      </c>
      <c r="AI129" s="18">
        <v>45595.488136574073</v>
      </c>
      <c r="AJ129" t="s">
        <v>68</v>
      </c>
      <c r="AK129" t="s">
        <v>9</v>
      </c>
      <c r="AL129" t="s">
        <v>567</v>
      </c>
      <c r="AM129">
        <v>0.24264259227222601</v>
      </c>
      <c r="AN129">
        <v>90</v>
      </c>
      <c r="AO129">
        <v>2</v>
      </c>
    </row>
    <row r="130" spans="1:41">
      <c r="A130" s="14">
        <v>45595.415509259263</v>
      </c>
      <c r="B130" t="s">
        <v>68</v>
      </c>
      <c r="C130" t="s">
        <v>9</v>
      </c>
      <c r="D130" t="s">
        <v>568</v>
      </c>
      <c r="E130">
        <v>0.35338230206527399</v>
      </c>
      <c r="F130">
        <v>90</v>
      </c>
      <c r="G130">
        <v>2</v>
      </c>
      <c r="X130" s="18">
        <v>45595.468923611108</v>
      </c>
      <c r="Y130" t="s">
        <v>68</v>
      </c>
      <c r="Z130" t="s">
        <v>8</v>
      </c>
      <c r="AA130" t="s">
        <v>569</v>
      </c>
      <c r="AB130">
        <v>0.141748555706735</v>
      </c>
      <c r="AC130">
        <v>90</v>
      </c>
      <c r="AD130">
        <v>2</v>
      </c>
      <c r="AI130" s="18">
        <v>45595.488194444442</v>
      </c>
      <c r="AJ130" t="s">
        <v>68</v>
      </c>
      <c r="AK130" t="s">
        <v>9</v>
      </c>
      <c r="AL130" t="s">
        <v>570</v>
      </c>
      <c r="AM130">
        <v>0.24229418282450499</v>
      </c>
      <c r="AN130">
        <v>90</v>
      </c>
      <c r="AO130">
        <v>2</v>
      </c>
    </row>
    <row r="131" spans="1:41">
      <c r="A131" s="14">
        <v>45595.415567129632</v>
      </c>
      <c r="B131" t="s">
        <v>68</v>
      </c>
      <c r="C131" t="s">
        <v>9</v>
      </c>
      <c r="D131" t="s">
        <v>571</v>
      </c>
      <c r="E131">
        <v>0.35425549871614997</v>
      </c>
      <c r="F131">
        <v>90</v>
      </c>
      <c r="G131">
        <v>2</v>
      </c>
      <c r="X131" s="18">
        <v>45595.468981481485</v>
      </c>
      <c r="Y131" t="s">
        <v>68</v>
      </c>
      <c r="Z131" t="s">
        <v>8</v>
      </c>
      <c r="AA131" t="s">
        <v>572</v>
      </c>
      <c r="AB131">
        <v>0.14529951194660701</v>
      </c>
      <c r="AC131">
        <v>90</v>
      </c>
      <c r="AD131">
        <v>2</v>
      </c>
      <c r="AI131" s="18">
        <v>45595.488252314812</v>
      </c>
      <c r="AJ131" t="s">
        <v>68</v>
      </c>
      <c r="AK131" t="s">
        <v>9</v>
      </c>
      <c r="AL131" t="s">
        <v>573</v>
      </c>
      <c r="AM131">
        <v>0.24633036906606301</v>
      </c>
      <c r="AN131">
        <v>90</v>
      </c>
      <c r="AO131">
        <v>2</v>
      </c>
    </row>
    <row r="132" spans="1:41">
      <c r="A132" s="14">
        <v>45595.415625000001</v>
      </c>
      <c r="B132" t="s">
        <v>68</v>
      </c>
      <c r="C132" t="s">
        <v>9</v>
      </c>
      <c r="D132" t="s">
        <v>574</v>
      </c>
      <c r="E132">
        <v>0.344058900696113</v>
      </c>
      <c r="F132">
        <v>90</v>
      </c>
      <c r="G132">
        <v>2</v>
      </c>
      <c r="X132" s="18">
        <v>45595.469039351854</v>
      </c>
      <c r="Y132" t="s">
        <v>68</v>
      </c>
      <c r="Z132" t="s">
        <v>8</v>
      </c>
      <c r="AA132" t="s">
        <v>575</v>
      </c>
      <c r="AB132">
        <v>0.14535590520366601</v>
      </c>
      <c r="AC132">
        <v>90</v>
      </c>
      <c r="AD132">
        <v>2</v>
      </c>
      <c r="AI132" s="18">
        <v>45595.488310185188</v>
      </c>
      <c r="AJ132" t="s">
        <v>68</v>
      </c>
      <c r="AK132" t="s">
        <v>9</v>
      </c>
      <c r="AL132" t="s">
        <v>576</v>
      </c>
      <c r="AM132">
        <v>0.24762021922137001</v>
      </c>
      <c r="AN132">
        <v>90</v>
      </c>
      <c r="AO132">
        <v>2</v>
      </c>
    </row>
    <row r="133" spans="1:41">
      <c r="A133" s="14">
        <v>45595.415682870371</v>
      </c>
      <c r="B133" t="s">
        <v>68</v>
      </c>
      <c r="C133" t="s">
        <v>9</v>
      </c>
      <c r="D133" t="s">
        <v>577</v>
      </c>
      <c r="E133">
        <v>0.34209304918032801</v>
      </c>
      <c r="F133">
        <v>90</v>
      </c>
      <c r="G133">
        <v>2</v>
      </c>
      <c r="X133" s="18">
        <v>45595.469097222223</v>
      </c>
      <c r="Y133" t="s">
        <v>68</v>
      </c>
      <c r="Z133" t="s">
        <v>8</v>
      </c>
      <c r="AA133" t="s">
        <v>578</v>
      </c>
      <c r="AB133">
        <v>0.14352409490385501</v>
      </c>
      <c r="AC133">
        <v>90</v>
      </c>
      <c r="AD133">
        <v>2</v>
      </c>
      <c r="AI133" s="18">
        <v>45595.488368055558</v>
      </c>
      <c r="AJ133" t="s">
        <v>68</v>
      </c>
      <c r="AK133" t="s">
        <v>9</v>
      </c>
      <c r="AL133" t="s">
        <v>579</v>
      </c>
      <c r="AM133">
        <v>0.24349203090850099</v>
      </c>
      <c r="AN133">
        <v>90</v>
      </c>
      <c r="AO133">
        <v>2</v>
      </c>
    </row>
    <row r="134" spans="1:41">
      <c r="A134" s="14">
        <v>45595.41574074074</v>
      </c>
      <c r="B134" t="s">
        <v>68</v>
      </c>
      <c r="C134" t="s">
        <v>9</v>
      </c>
      <c r="D134" t="s">
        <v>580</v>
      </c>
      <c r="E134">
        <v>0.35705585271415802</v>
      </c>
      <c r="F134">
        <v>90</v>
      </c>
      <c r="G134">
        <v>2</v>
      </c>
      <c r="X134" s="18">
        <v>45595.469351851854</v>
      </c>
      <c r="Y134" t="s">
        <v>68</v>
      </c>
      <c r="Z134" t="s">
        <v>9</v>
      </c>
      <c r="AA134" t="s">
        <v>581</v>
      </c>
      <c r="AB134">
        <v>0.27792208684599701</v>
      </c>
      <c r="AC134">
        <v>90</v>
      </c>
      <c r="AD134">
        <v>2</v>
      </c>
      <c r="AI134" s="18">
        <v>45595.488425925927</v>
      </c>
      <c r="AJ134" t="s">
        <v>68</v>
      </c>
      <c r="AK134" t="s">
        <v>9</v>
      </c>
      <c r="AL134" t="s">
        <v>582</v>
      </c>
      <c r="AM134">
        <v>0.243403937858752</v>
      </c>
      <c r="AN134">
        <v>90</v>
      </c>
      <c r="AO134">
        <v>2</v>
      </c>
    </row>
    <row r="135" spans="1:41">
      <c r="A135" s="14">
        <v>45595.415798611109</v>
      </c>
      <c r="B135" t="s">
        <v>68</v>
      </c>
      <c r="C135" t="s">
        <v>9</v>
      </c>
      <c r="D135" t="s">
        <v>583</v>
      </c>
      <c r="E135">
        <v>0.35258530485532102</v>
      </c>
      <c r="F135">
        <v>90</v>
      </c>
      <c r="G135">
        <v>2</v>
      </c>
      <c r="X135" s="18">
        <v>45595.469409722224</v>
      </c>
      <c r="Y135" t="s">
        <v>68</v>
      </c>
      <c r="Z135" t="s">
        <v>9</v>
      </c>
      <c r="AA135" t="s">
        <v>584</v>
      </c>
      <c r="AB135">
        <v>0.27554701190689301</v>
      </c>
      <c r="AC135">
        <v>90</v>
      </c>
      <c r="AD135">
        <v>2</v>
      </c>
      <c r="AI135" s="18">
        <v>45595.488483796296</v>
      </c>
      <c r="AJ135" t="s">
        <v>68</v>
      </c>
      <c r="AK135" t="s">
        <v>9</v>
      </c>
      <c r="AL135" t="s">
        <v>585</v>
      </c>
      <c r="AM135">
        <v>0.24456518397275101</v>
      </c>
      <c r="AN135">
        <v>90</v>
      </c>
      <c r="AO135">
        <v>2</v>
      </c>
    </row>
    <row r="136" spans="1:41">
      <c r="A136" s="14">
        <v>45595.415856481479</v>
      </c>
      <c r="B136" t="s">
        <v>68</v>
      </c>
      <c r="C136" t="s">
        <v>9</v>
      </c>
      <c r="D136" t="s">
        <v>586</v>
      </c>
      <c r="E136">
        <v>0.34797076860016901</v>
      </c>
      <c r="F136">
        <v>90</v>
      </c>
      <c r="G136">
        <v>2</v>
      </c>
      <c r="X136" s="18">
        <v>45595.469467592593</v>
      </c>
      <c r="Y136" t="s">
        <v>68</v>
      </c>
      <c r="Z136" t="s">
        <v>9</v>
      </c>
      <c r="AA136" t="s">
        <v>587</v>
      </c>
      <c r="AB136">
        <v>0.276774875440432</v>
      </c>
      <c r="AC136">
        <v>90</v>
      </c>
      <c r="AD136">
        <v>2</v>
      </c>
      <c r="AI136" s="18">
        <v>45595.488541666666</v>
      </c>
      <c r="AJ136" t="s">
        <v>68</v>
      </c>
      <c r="AK136" t="s">
        <v>9</v>
      </c>
      <c r="AL136" t="s">
        <v>588</v>
      </c>
      <c r="AM136">
        <v>0.24474747295734001</v>
      </c>
      <c r="AN136">
        <v>90</v>
      </c>
      <c r="AO136">
        <v>2</v>
      </c>
    </row>
    <row r="137" spans="1:41">
      <c r="A137" s="14">
        <v>45595.415914351855</v>
      </c>
      <c r="B137" t="s">
        <v>68</v>
      </c>
      <c r="C137" t="s">
        <v>9</v>
      </c>
      <c r="D137" t="s">
        <v>589</v>
      </c>
      <c r="E137">
        <v>0.350092666999611</v>
      </c>
      <c r="F137">
        <v>90</v>
      </c>
      <c r="G137">
        <v>2</v>
      </c>
      <c r="X137" s="18">
        <v>45595.469525462962</v>
      </c>
      <c r="Y137" t="s">
        <v>68</v>
      </c>
      <c r="Z137" t="s">
        <v>9</v>
      </c>
      <c r="AA137" t="s">
        <v>590</v>
      </c>
      <c r="AB137">
        <v>0.27759974467751503</v>
      </c>
      <c r="AC137">
        <v>90</v>
      </c>
      <c r="AD137">
        <v>2</v>
      </c>
      <c r="AI137" s="18">
        <v>45595.488599537035</v>
      </c>
      <c r="AJ137" t="s">
        <v>68</v>
      </c>
      <c r="AK137" t="s">
        <v>9</v>
      </c>
      <c r="AL137" t="s">
        <v>591</v>
      </c>
      <c r="AM137">
        <v>0.24351049907801001</v>
      </c>
      <c r="AN137">
        <v>90</v>
      </c>
      <c r="AO137">
        <v>2</v>
      </c>
    </row>
    <row r="138" spans="1:41">
      <c r="A138" s="14">
        <v>45595.415972222225</v>
      </c>
      <c r="B138" t="s">
        <v>68</v>
      </c>
      <c r="C138" t="s">
        <v>9</v>
      </c>
      <c r="D138" t="s">
        <v>592</v>
      </c>
      <c r="E138">
        <v>0.34144345738336102</v>
      </c>
      <c r="F138">
        <v>90</v>
      </c>
      <c r="G138">
        <v>2</v>
      </c>
      <c r="X138" s="18">
        <v>45595.469583333332</v>
      </c>
      <c r="Y138" t="s">
        <v>68</v>
      </c>
      <c r="Z138" t="s">
        <v>9</v>
      </c>
      <c r="AA138" t="s">
        <v>593</v>
      </c>
      <c r="AB138">
        <v>0.27399868177516501</v>
      </c>
      <c r="AC138">
        <v>90</v>
      </c>
      <c r="AD138">
        <v>2</v>
      </c>
      <c r="AI138" s="18">
        <v>45595.488657407404</v>
      </c>
      <c r="AJ138" t="s">
        <v>68</v>
      </c>
      <c r="AK138" t="s">
        <v>9</v>
      </c>
      <c r="AL138" t="s">
        <v>594</v>
      </c>
      <c r="AM138">
        <v>0.246310595913663</v>
      </c>
      <c r="AN138">
        <v>90</v>
      </c>
      <c r="AO138">
        <v>2</v>
      </c>
    </row>
    <row r="139" spans="1:41">
      <c r="A139" s="14">
        <v>45595.416030092594</v>
      </c>
      <c r="B139" t="s">
        <v>68</v>
      </c>
      <c r="C139" t="s">
        <v>9</v>
      </c>
      <c r="D139" t="s">
        <v>595</v>
      </c>
      <c r="E139">
        <v>0.34721600892716997</v>
      </c>
      <c r="F139">
        <v>90</v>
      </c>
      <c r="G139">
        <v>2</v>
      </c>
      <c r="X139" s="18">
        <v>45595.469641203701</v>
      </c>
      <c r="Y139" t="s">
        <v>68</v>
      </c>
      <c r="Z139" t="s">
        <v>9</v>
      </c>
      <c r="AA139" t="s">
        <v>596</v>
      </c>
      <c r="AB139">
        <v>0.27517517896598098</v>
      </c>
      <c r="AC139">
        <v>90</v>
      </c>
      <c r="AD139">
        <v>2</v>
      </c>
      <c r="AI139" s="18">
        <v>45595.488715277781</v>
      </c>
      <c r="AJ139" t="s">
        <v>68</v>
      </c>
      <c r="AK139" t="s">
        <v>9</v>
      </c>
      <c r="AL139" t="s">
        <v>597</v>
      </c>
      <c r="AM139">
        <v>0.243078617637427</v>
      </c>
      <c r="AN139">
        <v>90</v>
      </c>
      <c r="AO139">
        <v>2</v>
      </c>
    </row>
    <row r="140" spans="1:41">
      <c r="A140" s="14">
        <v>45595.416087962964</v>
      </c>
      <c r="B140" t="s">
        <v>68</v>
      </c>
      <c r="C140" t="s">
        <v>9</v>
      </c>
      <c r="D140" t="s">
        <v>598</v>
      </c>
      <c r="E140">
        <v>0.35148783555008201</v>
      </c>
      <c r="F140">
        <v>90</v>
      </c>
      <c r="G140">
        <v>2</v>
      </c>
      <c r="X140" s="18">
        <v>45595.469699074078</v>
      </c>
      <c r="Y140" t="s">
        <v>68</v>
      </c>
      <c r="Z140" t="s">
        <v>9</v>
      </c>
      <c r="AA140" t="s">
        <v>599</v>
      </c>
      <c r="AB140">
        <v>0.27744012362084097</v>
      </c>
      <c r="AC140">
        <v>90</v>
      </c>
      <c r="AD140">
        <v>2</v>
      </c>
      <c r="AI140" s="18">
        <v>45595.48877314815</v>
      </c>
      <c r="AJ140" t="s">
        <v>68</v>
      </c>
      <c r="AK140" t="s">
        <v>9</v>
      </c>
      <c r="AL140" t="s">
        <v>600</v>
      </c>
      <c r="AM140">
        <v>0.24021930810777001</v>
      </c>
      <c r="AN140">
        <v>90</v>
      </c>
      <c r="AO140">
        <v>2</v>
      </c>
    </row>
    <row r="141" spans="1:41">
      <c r="A141" s="14">
        <v>45595.416145833333</v>
      </c>
      <c r="B141" t="s">
        <v>68</v>
      </c>
      <c r="C141" t="s">
        <v>9</v>
      </c>
      <c r="D141" t="s">
        <v>601</v>
      </c>
      <c r="E141">
        <v>0.34625568589338801</v>
      </c>
      <c r="F141">
        <v>90</v>
      </c>
      <c r="G141">
        <v>2</v>
      </c>
      <c r="X141" s="18">
        <v>45595.469756944447</v>
      </c>
      <c r="Y141" t="s">
        <v>68</v>
      </c>
      <c r="Z141" t="s">
        <v>9</v>
      </c>
      <c r="AA141" t="s">
        <v>602</v>
      </c>
      <c r="AB141">
        <v>0.26947623981994301</v>
      </c>
      <c r="AC141">
        <v>90</v>
      </c>
      <c r="AD141">
        <v>2</v>
      </c>
      <c r="AI141" s="18">
        <v>45595.48883101852</v>
      </c>
      <c r="AJ141" t="s">
        <v>68</v>
      </c>
      <c r="AK141" t="s">
        <v>9</v>
      </c>
      <c r="AL141" t="s">
        <v>603</v>
      </c>
      <c r="AM141">
        <v>0.24413191437385001</v>
      </c>
      <c r="AN141">
        <v>90</v>
      </c>
      <c r="AO141">
        <v>2</v>
      </c>
    </row>
    <row r="142" spans="1:41">
      <c r="A142" s="14">
        <v>45595.416203703702</v>
      </c>
      <c r="B142" t="s">
        <v>68</v>
      </c>
      <c r="C142" t="s">
        <v>9</v>
      </c>
      <c r="D142" t="s">
        <v>604</v>
      </c>
      <c r="E142">
        <v>0.34873630949495399</v>
      </c>
      <c r="F142">
        <v>90</v>
      </c>
      <c r="G142">
        <v>2</v>
      </c>
      <c r="X142" s="18">
        <v>45595.469814814816</v>
      </c>
      <c r="Y142" t="s">
        <v>68</v>
      </c>
      <c r="Z142" t="s">
        <v>9</v>
      </c>
      <c r="AA142" t="s">
        <v>605</v>
      </c>
      <c r="AB142">
        <v>0.27637708325689297</v>
      </c>
      <c r="AC142">
        <v>90</v>
      </c>
      <c r="AD142">
        <v>2</v>
      </c>
      <c r="AI142" s="18">
        <v>45595.488888888889</v>
      </c>
      <c r="AJ142" t="s">
        <v>68</v>
      </c>
      <c r="AK142" t="s">
        <v>9</v>
      </c>
      <c r="AL142" t="s">
        <v>606</v>
      </c>
      <c r="AM142">
        <v>0.24184745469442101</v>
      </c>
      <c r="AN142">
        <v>90</v>
      </c>
      <c r="AO142">
        <v>2</v>
      </c>
    </row>
    <row r="143" spans="1:41">
      <c r="A143" s="14">
        <v>45595.416261574072</v>
      </c>
      <c r="B143" t="s">
        <v>68</v>
      </c>
      <c r="C143" t="s">
        <v>9</v>
      </c>
      <c r="D143" t="s">
        <v>607</v>
      </c>
      <c r="E143">
        <v>0.345450244912761</v>
      </c>
      <c r="F143">
        <v>90</v>
      </c>
      <c r="G143">
        <v>2</v>
      </c>
      <c r="X143" s="18">
        <v>45595.469872685186</v>
      </c>
      <c r="Y143" t="s">
        <v>68</v>
      </c>
      <c r="Z143" t="s">
        <v>9</v>
      </c>
      <c r="AA143" t="s">
        <v>608</v>
      </c>
      <c r="AB143">
        <v>0.27379348861991298</v>
      </c>
      <c r="AC143">
        <v>90</v>
      </c>
      <c r="AD143">
        <v>2</v>
      </c>
      <c r="AI143" s="18">
        <v>45595.488946759258</v>
      </c>
      <c r="AJ143" t="s">
        <v>68</v>
      </c>
      <c r="AK143" t="s">
        <v>9</v>
      </c>
      <c r="AL143" t="s">
        <v>609</v>
      </c>
      <c r="AM143">
        <v>0.24224048830818801</v>
      </c>
      <c r="AN143">
        <v>90</v>
      </c>
      <c r="AO143">
        <v>2</v>
      </c>
    </row>
    <row r="144" spans="1:41">
      <c r="A144" s="14">
        <v>45595.416319444441</v>
      </c>
      <c r="B144" t="s">
        <v>68</v>
      </c>
      <c r="C144" t="s">
        <v>9</v>
      </c>
      <c r="D144" t="s">
        <v>610</v>
      </c>
      <c r="E144">
        <v>0.34395961149731302</v>
      </c>
      <c r="F144">
        <v>90</v>
      </c>
      <c r="G144">
        <v>2</v>
      </c>
      <c r="X144" s="18">
        <v>45595.469930555555</v>
      </c>
      <c r="Y144" t="s">
        <v>68</v>
      </c>
      <c r="Z144" t="s">
        <v>9</v>
      </c>
      <c r="AA144" t="s">
        <v>611</v>
      </c>
      <c r="AB144">
        <v>0.27801237561360398</v>
      </c>
      <c r="AC144">
        <v>90</v>
      </c>
      <c r="AD144">
        <v>2</v>
      </c>
      <c r="AI144" s="18">
        <v>45595.489004629628</v>
      </c>
      <c r="AJ144" t="s">
        <v>68</v>
      </c>
      <c r="AK144" t="s">
        <v>9</v>
      </c>
      <c r="AL144" t="s">
        <v>612</v>
      </c>
      <c r="AM144">
        <v>0.24721207970440101</v>
      </c>
      <c r="AN144">
        <v>90</v>
      </c>
      <c r="AO144">
        <v>2</v>
      </c>
    </row>
    <row r="145" spans="1:41">
      <c r="A145" s="14">
        <v>45595.416377314818</v>
      </c>
      <c r="B145" t="s">
        <v>68</v>
      </c>
      <c r="C145" t="s">
        <v>9</v>
      </c>
      <c r="D145" t="s">
        <v>613</v>
      </c>
      <c r="E145">
        <v>0.344482210811552</v>
      </c>
      <c r="F145">
        <v>90</v>
      </c>
      <c r="G145">
        <v>2</v>
      </c>
      <c r="X145" s="18">
        <v>45595.469988425924</v>
      </c>
      <c r="Y145" t="s">
        <v>68</v>
      </c>
      <c r="Z145" t="s">
        <v>9</v>
      </c>
      <c r="AA145" t="s">
        <v>614</v>
      </c>
      <c r="AB145">
        <v>0.27597552427274002</v>
      </c>
      <c r="AC145">
        <v>90</v>
      </c>
      <c r="AD145">
        <v>2</v>
      </c>
      <c r="AI145" s="18">
        <v>45595.489062499997</v>
      </c>
      <c r="AJ145" t="s">
        <v>68</v>
      </c>
      <c r="AK145" t="s">
        <v>9</v>
      </c>
      <c r="AL145" t="s">
        <v>615</v>
      </c>
      <c r="AM145">
        <v>0.244453983618653</v>
      </c>
      <c r="AN145">
        <v>90</v>
      </c>
      <c r="AO145">
        <v>2</v>
      </c>
    </row>
    <row r="146" spans="1:41">
      <c r="A146" s="14">
        <v>45595.416435185187</v>
      </c>
      <c r="B146" t="s">
        <v>68</v>
      </c>
      <c r="C146" t="s">
        <v>9</v>
      </c>
      <c r="D146" t="s">
        <v>616</v>
      </c>
      <c r="E146">
        <v>0.35160654477112602</v>
      </c>
      <c r="F146">
        <v>90</v>
      </c>
      <c r="G146">
        <v>2</v>
      </c>
      <c r="X146" s="18">
        <v>45595.470046296294</v>
      </c>
      <c r="Y146" t="s">
        <v>68</v>
      </c>
      <c r="Z146" t="s">
        <v>9</v>
      </c>
      <c r="AA146" t="s">
        <v>617</v>
      </c>
      <c r="AB146">
        <v>0.27237505228158199</v>
      </c>
      <c r="AC146">
        <v>90</v>
      </c>
      <c r="AD146">
        <v>2</v>
      </c>
      <c r="AI146" s="18">
        <v>45595.489120370374</v>
      </c>
      <c r="AJ146" t="s">
        <v>68</v>
      </c>
      <c r="AK146" t="s">
        <v>9</v>
      </c>
      <c r="AL146" t="s">
        <v>618</v>
      </c>
      <c r="AM146">
        <v>0.24296794019043999</v>
      </c>
      <c r="AN146">
        <v>90</v>
      </c>
      <c r="AO146">
        <v>2</v>
      </c>
    </row>
    <row r="147" spans="1:41">
      <c r="A147" s="14">
        <v>45595.416493055556</v>
      </c>
      <c r="B147" t="s">
        <v>68</v>
      </c>
      <c r="C147" t="s">
        <v>9</v>
      </c>
      <c r="D147" t="s">
        <v>619</v>
      </c>
      <c r="E147">
        <v>0.34629135952032802</v>
      </c>
      <c r="F147">
        <v>90</v>
      </c>
      <c r="G147">
        <v>2</v>
      </c>
      <c r="X147" s="18">
        <v>45595.470104166663</v>
      </c>
      <c r="Y147" t="s">
        <v>68</v>
      </c>
      <c r="Z147" t="s">
        <v>9</v>
      </c>
      <c r="AA147" t="s">
        <v>620</v>
      </c>
      <c r="AB147">
        <v>0.27321245161376101</v>
      </c>
      <c r="AC147">
        <v>90</v>
      </c>
      <c r="AD147">
        <v>2</v>
      </c>
      <c r="AI147" s="18">
        <v>45595.489178240743</v>
      </c>
      <c r="AJ147" t="s">
        <v>68</v>
      </c>
      <c r="AK147" t="s">
        <v>9</v>
      </c>
      <c r="AL147" t="s">
        <v>621</v>
      </c>
      <c r="AM147">
        <v>0.242870760995781</v>
      </c>
      <c r="AN147">
        <v>90</v>
      </c>
      <c r="AO147">
        <v>2</v>
      </c>
    </row>
    <row r="148" spans="1:41">
      <c r="A148" s="14">
        <v>45595.416550925926</v>
      </c>
      <c r="B148" t="s">
        <v>68</v>
      </c>
      <c r="C148" t="s">
        <v>9</v>
      </c>
      <c r="D148" t="s">
        <v>622</v>
      </c>
      <c r="E148">
        <v>0.34857700702273903</v>
      </c>
      <c r="F148">
        <v>90</v>
      </c>
      <c r="G148">
        <v>2</v>
      </c>
      <c r="X148" s="18">
        <v>45595.47016203704</v>
      </c>
      <c r="Y148" t="s">
        <v>68</v>
      </c>
      <c r="Z148" t="s">
        <v>9</v>
      </c>
      <c r="AA148" t="s">
        <v>623</v>
      </c>
      <c r="AB148">
        <v>0.27133849212319</v>
      </c>
      <c r="AC148">
        <v>90</v>
      </c>
      <c r="AD148">
        <v>2</v>
      </c>
      <c r="AI148" s="18">
        <v>45595.489236111112</v>
      </c>
      <c r="AJ148" t="s">
        <v>68</v>
      </c>
      <c r="AK148" t="s">
        <v>9</v>
      </c>
      <c r="AL148" t="s">
        <v>624</v>
      </c>
      <c r="AM148">
        <v>0.247537898068517</v>
      </c>
      <c r="AN148">
        <v>90</v>
      </c>
      <c r="AO148">
        <v>2</v>
      </c>
    </row>
    <row r="149" spans="1:41">
      <c r="A149" s="14">
        <v>45595.416608796295</v>
      </c>
      <c r="B149" t="s">
        <v>68</v>
      </c>
      <c r="C149" t="s">
        <v>9</v>
      </c>
      <c r="D149" t="s">
        <v>625</v>
      </c>
      <c r="E149">
        <v>0.35030088595664599</v>
      </c>
      <c r="F149">
        <v>90</v>
      </c>
      <c r="G149">
        <v>2</v>
      </c>
      <c r="X149" s="18">
        <v>45595.470219907409</v>
      </c>
      <c r="Y149" t="s">
        <v>68</v>
      </c>
      <c r="Z149" t="s">
        <v>9</v>
      </c>
      <c r="AA149" t="s">
        <v>626</v>
      </c>
      <c r="AB149">
        <v>0.27511559830493398</v>
      </c>
      <c r="AC149">
        <v>90</v>
      </c>
      <c r="AD149">
        <v>2</v>
      </c>
      <c r="AI149" s="18">
        <v>45595.489293981482</v>
      </c>
      <c r="AJ149" t="s">
        <v>68</v>
      </c>
      <c r="AK149" t="s">
        <v>9</v>
      </c>
      <c r="AL149" t="s">
        <v>627</v>
      </c>
      <c r="AM149">
        <v>0.24656127082051299</v>
      </c>
      <c r="AN149">
        <v>90</v>
      </c>
      <c r="AO149">
        <v>2</v>
      </c>
    </row>
    <row r="150" spans="1:41">
      <c r="A150" s="14">
        <v>45595.416666666664</v>
      </c>
      <c r="B150" t="s">
        <v>68</v>
      </c>
      <c r="C150" t="s">
        <v>9</v>
      </c>
      <c r="D150" t="s">
        <v>628</v>
      </c>
      <c r="E150">
        <v>0.34620453346531499</v>
      </c>
      <c r="F150">
        <v>90</v>
      </c>
      <c r="G150">
        <v>2</v>
      </c>
      <c r="X150" s="18">
        <v>45595.470277777778</v>
      </c>
      <c r="Y150" t="s">
        <v>68</v>
      </c>
      <c r="Z150" t="s">
        <v>9</v>
      </c>
      <c r="AA150" t="s">
        <v>629</v>
      </c>
      <c r="AB150">
        <v>0.27731269185333701</v>
      </c>
      <c r="AC150">
        <v>90</v>
      </c>
      <c r="AD150">
        <v>2</v>
      </c>
      <c r="AI150" s="18">
        <v>45595.489351851851</v>
      </c>
      <c r="AJ150" t="s">
        <v>68</v>
      </c>
      <c r="AK150" t="s">
        <v>9</v>
      </c>
      <c r="AL150" t="s">
        <v>630</v>
      </c>
      <c r="AM150">
        <v>0.24752887794081799</v>
      </c>
      <c r="AN150">
        <v>90</v>
      </c>
      <c r="AO150">
        <v>2</v>
      </c>
    </row>
    <row r="151" spans="1:41">
      <c r="A151" s="14">
        <v>45595.416724537034</v>
      </c>
      <c r="B151" t="s">
        <v>68</v>
      </c>
      <c r="C151" t="s">
        <v>9</v>
      </c>
      <c r="D151" t="s">
        <v>631</v>
      </c>
      <c r="E151">
        <v>0.34268735350380902</v>
      </c>
      <c r="F151">
        <v>90</v>
      </c>
      <c r="G151">
        <v>2</v>
      </c>
      <c r="X151" s="18">
        <v>45595.470335648148</v>
      </c>
      <c r="Y151" t="s">
        <v>68</v>
      </c>
      <c r="Z151" t="s">
        <v>9</v>
      </c>
      <c r="AA151" t="s">
        <v>632</v>
      </c>
      <c r="AB151">
        <v>0.27576491189478902</v>
      </c>
      <c r="AC151">
        <v>90</v>
      </c>
      <c r="AD151">
        <v>2</v>
      </c>
    </row>
    <row r="152" spans="1:41">
      <c r="A152" s="14">
        <v>45595.41678240741</v>
      </c>
      <c r="B152" t="s">
        <v>68</v>
      </c>
      <c r="C152" t="s">
        <v>9</v>
      </c>
      <c r="D152" t="s">
        <v>633</v>
      </c>
      <c r="E152">
        <v>0.34039838886416901</v>
      </c>
      <c r="F152">
        <v>90</v>
      </c>
      <c r="G152">
        <v>2</v>
      </c>
      <c r="X152" s="18">
        <v>45595.470393518517</v>
      </c>
      <c r="Y152" t="s">
        <v>68</v>
      </c>
      <c r="Z152" t="s">
        <v>9</v>
      </c>
      <c r="AA152" t="s">
        <v>634</v>
      </c>
      <c r="AB152">
        <v>0.27356346969642298</v>
      </c>
      <c r="AC152">
        <v>90</v>
      </c>
      <c r="AD152">
        <v>2</v>
      </c>
    </row>
    <row r="153" spans="1:41">
      <c r="A153" s="14">
        <v>45595.41684027778</v>
      </c>
      <c r="B153" t="s">
        <v>68</v>
      </c>
      <c r="C153" t="s">
        <v>9</v>
      </c>
      <c r="D153" t="s">
        <v>635</v>
      </c>
      <c r="E153">
        <v>0.34319806306851303</v>
      </c>
      <c r="F153">
        <v>90</v>
      </c>
      <c r="G153">
        <v>2</v>
      </c>
      <c r="X153" s="18">
        <v>45595.470451388886</v>
      </c>
      <c r="Y153" t="s">
        <v>68</v>
      </c>
      <c r="Z153" t="s">
        <v>9</v>
      </c>
      <c r="AA153" t="s">
        <v>636</v>
      </c>
      <c r="AB153">
        <v>0.27211298766453201</v>
      </c>
      <c r="AC153">
        <v>90</v>
      </c>
      <c r="AD153">
        <v>2</v>
      </c>
    </row>
    <row r="154" spans="1:41">
      <c r="A154" s="14">
        <v>45595.416898148149</v>
      </c>
      <c r="B154" t="s">
        <v>68</v>
      </c>
      <c r="C154" t="s">
        <v>9</v>
      </c>
      <c r="D154" t="s">
        <v>637</v>
      </c>
      <c r="E154">
        <v>0.34645813026850197</v>
      </c>
      <c r="F154">
        <v>90</v>
      </c>
      <c r="G154">
        <v>2</v>
      </c>
      <c r="X154" s="18">
        <v>45595.470509259256</v>
      </c>
      <c r="Y154" t="s">
        <v>68</v>
      </c>
      <c r="Z154" t="s">
        <v>9</v>
      </c>
      <c r="AA154" t="s">
        <v>638</v>
      </c>
      <c r="AB154">
        <v>0.27416094388393802</v>
      </c>
      <c r="AC154">
        <v>90</v>
      </c>
      <c r="AD154">
        <v>2</v>
      </c>
    </row>
    <row r="155" spans="1:41">
      <c r="X155" s="18">
        <v>45595.470567129632</v>
      </c>
      <c r="Y155" t="s">
        <v>68</v>
      </c>
      <c r="Z155" t="s">
        <v>9</v>
      </c>
      <c r="AA155" t="s">
        <v>639</v>
      </c>
      <c r="AB155">
        <v>0.27710737608040997</v>
      </c>
      <c r="AC155">
        <v>90</v>
      </c>
      <c r="AD155">
        <v>2</v>
      </c>
    </row>
    <row r="156" spans="1:41">
      <c r="X156" s="18">
        <v>45595.470625000002</v>
      </c>
      <c r="Y156" t="s">
        <v>68</v>
      </c>
      <c r="Z156" t="s">
        <v>9</v>
      </c>
      <c r="AA156" t="s">
        <v>640</v>
      </c>
      <c r="AB156">
        <v>0.27729266705908201</v>
      </c>
      <c r="AC156">
        <v>90</v>
      </c>
      <c r="AD156">
        <v>2</v>
      </c>
    </row>
    <row r="157" spans="1:41">
      <c r="X157" s="18">
        <v>45595.470682870371</v>
      </c>
      <c r="Y157" t="s">
        <v>68</v>
      </c>
      <c r="Z157" t="s">
        <v>9</v>
      </c>
      <c r="AA157" t="s">
        <v>641</v>
      </c>
      <c r="AB157">
        <v>0.27585630358360302</v>
      </c>
      <c r="AC157">
        <v>90</v>
      </c>
      <c r="AD157">
        <v>2</v>
      </c>
    </row>
    <row r="158" spans="1:41">
      <c r="X158" s="18">
        <v>45595.47074074074</v>
      </c>
      <c r="Y158" t="s">
        <v>68</v>
      </c>
      <c r="Z158" t="s">
        <v>9</v>
      </c>
      <c r="AA158" t="s">
        <v>642</v>
      </c>
      <c r="AB158">
        <v>0.27981575115721002</v>
      </c>
      <c r="AC158">
        <v>90</v>
      </c>
      <c r="AD158">
        <v>2</v>
      </c>
    </row>
    <row r="159" spans="1:41">
      <c r="X159" s="18">
        <v>45595.47079861111</v>
      </c>
      <c r="Y159" t="s">
        <v>68</v>
      </c>
      <c r="Z159" t="s">
        <v>9</v>
      </c>
      <c r="AA159" t="s">
        <v>643</v>
      </c>
      <c r="AB159">
        <v>0.27472830040495999</v>
      </c>
      <c r="AC159">
        <v>90</v>
      </c>
      <c r="AD159">
        <v>2</v>
      </c>
    </row>
    <row r="160" spans="1:41">
      <c r="X160" s="18">
        <v>45595.470856481479</v>
      </c>
      <c r="Y160" t="s">
        <v>68</v>
      </c>
      <c r="Z160" t="s">
        <v>9</v>
      </c>
      <c r="AA160" t="s">
        <v>644</v>
      </c>
      <c r="AB160">
        <v>0.26950974084002699</v>
      </c>
      <c r="AC160">
        <v>90</v>
      </c>
      <c r="AD160">
        <v>2</v>
      </c>
    </row>
    <row r="161" spans="24:30">
      <c r="X161" s="18">
        <v>45595.470914351848</v>
      </c>
      <c r="Y161" t="s">
        <v>68</v>
      </c>
      <c r="Z161" t="s">
        <v>9</v>
      </c>
      <c r="AA161" t="s">
        <v>645</v>
      </c>
      <c r="AB161">
        <v>0.27084399178414098</v>
      </c>
      <c r="AC161">
        <v>90</v>
      </c>
      <c r="AD161">
        <v>2</v>
      </c>
    </row>
    <row r="162" spans="24:30">
      <c r="X162" s="18">
        <v>45595.470972222225</v>
      </c>
      <c r="Y162" t="s">
        <v>68</v>
      </c>
      <c r="Z162" t="s">
        <v>9</v>
      </c>
      <c r="AA162" t="s">
        <v>646</v>
      </c>
      <c r="AB162">
        <v>0.27652724849948201</v>
      </c>
      <c r="AC162">
        <v>90</v>
      </c>
      <c r="AD162">
        <v>2</v>
      </c>
    </row>
    <row r="163" spans="24:30">
      <c r="X163" s="18">
        <v>45595.471030092594</v>
      </c>
      <c r="Y163" t="s">
        <v>68</v>
      </c>
      <c r="Z163" t="s">
        <v>9</v>
      </c>
      <c r="AA163" t="s">
        <v>647</v>
      </c>
      <c r="AB163">
        <v>0.27589210752792098</v>
      </c>
      <c r="AC163">
        <v>90</v>
      </c>
      <c r="AD163">
        <v>2</v>
      </c>
    </row>
    <row r="164" spans="24:30">
      <c r="X164" s="18">
        <v>45595.471087962964</v>
      </c>
      <c r="Y164" t="s">
        <v>68</v>
      </c>
      <c r="Z164" t="s">
        <v>9</v>
      </c>
      <c r="AA164" t="s">
        <v>648</v>
      </c>
      <c r="AB164">
        <v>0.274233229061837</v>
      </c>
      <c r="AC164">
        <v>90</v>
      </c>
      <c r="AD164">
        <v>2</v>
      </c>
    </row>
    <row r="165" spans="24:30">
      <c r="X165" s="18">
        <v>45595.471145833333</v>
      </c>
      <c r="Y165" t="s">
        <v>68</v>
      </c>
      <c r="Z165" t="s">
        <v>9</v>
      </c>
      <c r="AA165" t="s">
        <v>649</v>
      </c>
      <c r="AB165">
        <v>0.27818238171468601</v>
      </c>
      <c r="AC165">
        <v>90</v>
      </c>
      <c r="AD165">
        <v>2</v>
      </c>
    </row>
    <row r="166" spans="24:30">
      <c r="X166" s="18">
        <v>45595.471203703702</v>
      </c>
      <c r="Y166" t="s">
        <v>68</v>
      </c>
      <c r="Z166" t="s">
        <v>9</v>
      </c>
      <c r="AA166" t="s">
        <v>650</v>
      </c>
      <c r="AB166">
        <v>0.27204710296124002</v>
      </c>
      <c r="AC166">
        <v>90</v>
      </c>
      <c r="AD166">
        <v>2</v>
      </c>
    </row>
    <row r="167" spans="24:30">
      <c r="X167" s="18">
        <v>45595.471261574072</v>
      </c>
      <c r="Y167" t="s">
        <v>68</v>
      </c>
      <c r="Z167" t="s">
        <v>9</v>
      </c>
      <c r="AA167" t="s">
        <v>651</v>
      </c>
      <c r="AB167">
        <v>0.28016773463731398</v>
      </c>
      <c r="AC167">
        <v>90</v>
      </c>
      <c r="AD167">
        <v>2</v>
      </c>
    </row>
    <row r="168" spans="24:30">
      <c r="X168" s="18">
        <v>45595.471319444441</v>
      </c>
      <c r="Y168" t="s">
        <v>68</v>
      </c>
      <c r="Z168" t="s">
        <v>9</v>
      </c>
      <c r="AA168" t="s">
        <v>652</v>
      </c>
      <c r="AB168">
        <v>0.274249738128719</v>
      </c>
      <c r="AC168">
        <v>90</v>
      </c>
      <c r="AD168">
        <v>2</v>
      </c>
    </row>
    <row r="169" spans="24:30">
      <c r="X169" s="18">
        <v>45595.471377314818</v>
      </c>
      <c r="Y169" t="s">
        <v>68</v>
      </c>
      <c r="Z169" t="s">
        <v>9</v>
      </c>
      <c r="AA169" t="s">
        <v>653</v>
      </c>
      <c r="AB169">
        <v>0.27999306171559601</v>
      </c>
      <c r="AC169">
        <v>90</v>
      </c>
      <c r="AD169">
        <v>2</v>
      </c>
    </row>
    <row r="170" spans="24:30">
      <c r="X170" s="18">
        <v>45595.471435185187</v>
      </c>
      <c r="Y170" t="s">
        <v>68</v>
      </c>
      <c r="Z170" t="s">
        <v>9</v>
      </c>
      <c r="AA170" t="s">
        <v>654</v>
      </c>
      <c r="AB170">
        <v>0.27786989759741298</v>
      </c>
      <c r="AC170">
        <v>90</v>
      </c>
      <c r="AD170">
        <v>2</v>
      </c>
    </row>
    <row r="171" spans="24:30">
      <c r="X171" s="18">
        <v>45595.471493055556</v>
      </c>
      <c r="Y171" t="s">
        <v>68</v>
      </c>
      <c r="Z171" t="s">
        <v>9</v>
      </c>
      <c r="AA171" t="s">
        <v>655</v>
      </c>
      <c r="AB171">
        <v>0.27662465164868</v>
      </c>
      <c r="AC171">
        <v>90</v>
      </c>
      <c r="AD171">
        <v>2</v>
      </c>
    </row>
    <row r="172" spans="24:30">
      <c r="X172" s="18">
        <v>45595.471550925926</v>
      </c>
      <c r="Y172" t="s">
        <v>68</v>
      </c>
      <c r="Z172" t="s">
        <v>9</v>
      </c>
      <c r="AA172" t="s">
        <v>656</v>
      </c>
      <c r="AB172">
        <v>0.28110928421750803</v>
      </c>
      <c r="AC172">
        <v>90</v>
      </c>
      <c r="AD172">
        <v>2</v>
      </c>
    </row>
    <row r="173" spans="24:30">
      <c r="X173" s="18">
        <v>45595.471608796295</v>
      </c>
      <c r="Y173" t="s">
        <v>68</v>
      </c>
      <c r="Z173" t="s">
        <v>9</v>
      </c>
      <c r="AA173" t="s">
        <v>657</v>
      </c>
      <c r="AB173">
        <v>0.270267091396038</v>
      </c>
      <c r="AC173">
        <v>90</v>
      </c>
      <c r="AD173">
        <v>2</v>
      </c>
    </row>
    <row r="174" spans="24:30">
      <c r="X174" s="18">
        <v>45595.471666666665</v>
      </c>
      <c r="Y174" t="s">
        <v>68</v>
      </c>
      <c r="Z174" t="s">
        <v>9</v>
      </c>
      <c r="AA174" t="s">
        <v>658</v>
      </c>
      <c r="AB174">
        <v>0.27441605519033502</v>
      </c>
      <c r="AC174">
        <v>90</v>
      </c>
      <c r="AD174">
        <v>2</v>
      </c>
    </row>
    <row r="175" spans="24:30">
      <c r="X175" s="18">
        <v>45595.471724537034</v>
      </c>
      <c r="Y175" t="s">
        <v>68</v>
      </c>
      <c r="Z175" t="s">
        <v>9</v>
      </c>
      <c r="AA175" t="s">
        <v>659</v>
      </c>
      <c r="AB175">
        <v>0.27813917811533601</v>
      </c>
      <c r="AC175">
        <v>90</v>
      </c>
      <c r="AD175">
        <v>2</v>
      </c>
    </row>
    <row r="176" spans="24:30">
      <c r="X176" s="18">
        <v>45595.471782407411</v>
      </c>
      <c r="Y176" t="s">
        <v>68</v>
      </c>
      <c r="Z176" t="s">
        <v>9</v>
      </c>
      <c r="AA176" t="s">
        <v>660</v>
      </c>
      <c r="AB176">
        <v>0.27572311491532903</v>
      </c>
      <c r="AC176">
        <v>90</v>
      </c>
      <c r="AD176">
        <v>2</v>
      </c>
    </row>
    <row r="177" spans="24:30">
      <c r="X177" s="18">
        <v>45595.47184027778</v>
      </c>
      <c r="Y177" t="s">
        <v>68</v>
      </c>
      <c r="Z177" t="s">
        <v>9</v>
      </c>
      <c r="AA177" t="s">
        <v>661</v>
      </c>
      <c r="AB177">
        <v>0.28350688203386698</v>
      </c>
      <c r="AC177">
        <v>90</v>
      </c>
      <c r="AD177">
        <v>2</v>
      </c>
    </row>
    <row r="178" spans="24:30">
      <c r="X178" s="18">
        <v>45595.471898148149</v>
      </c>
      <c r="Y178" t="s">
        <v>68</v>
      </c>
      <c r="Z178" t="s">
        <v>9</v>
      </c>
      <c r="AA178" t="s">
        <v>662</v>
      </c>
      <c r="AB178">
        <v>0.27942324049108302</v>
      </c>
      <c r="AC178">
        <v>90</v>
      </c>
      <c r="AD178">
        <v>2</v>
      </c>
    </row>
    <row r="179" spans="24:30">
      <c r="X179" s="18">
        <v>45595.471956018519</v>
      </c>
      <c r="Y179" t="s">
        <v>68</v>
      </c>
      <c r="Z179" t="s">
        <v>9</v>
      </c>
      <c r="AA179" t="s">
        <v>663</v>
      </c>
      <c r="AB179">
        <v>0.27696125071315197</v>
      </c>
      <c r="AC179">
        <v>90</v>
      </c>
      <c r="AD179">
        <v>2</v>
      </c>
    </row>
    <row r="180" spans="24:30">
      <c r="X180" s="18">
        <v>45595.472013888888</v>
      </c>
      <c r="Y180" t="s">
        <v>68</v>
      </c>
      <c r="Z180" t="s">
        <v>9</v>
      </c>
      <c r="AA180" t="s">
        <v>664</v>
      </c>
      <c r="AB180">
        <v>0.27613417336834201</v>
      </c>
      <c r="AC180">
        <v>90</v>
      </c>
      <c r="AD180">
        <v>2</v>
      </c>
    </row>
    <row r="181" spans="24:30">
      <c r="X181" s="18">
        <v>45595.472071759257</v>
      </c>
      <c r="Y181" t="s">
        <v>68</v>
      </c>
      <c r="Z181" t="s">
        <v>9</v>
      </c>
      <c r="AA181" t="s">
        <v>665</v>
      </c>
      <c r="AB181">
        <v>0.27552251897006602</v>
      </c>
      <c r="AC181">
        <v>90</v>
      </c>
      <c r="AD181">
        <v>2</v>
      </c>
    </row>
    <row r="182" spans="24:30">
      <c r="X182" s="18">
        <v>45595.472129629627</v>
      </c>
      <c r="Y182" t="s">
        <v>68</v>
      </c>
      <c r="Z182" t="s">
        <v>9</v>
      </c>
      <c r="AA182" t="s">
        <v>666</v>
      </c>
      <c r="AB182">
        <v>0.27432435687900703</v>
      </c>
      <c r="AC182">
        <v>90</v>
      </c>
      <c r="AD182">
        <v>2</v>
      </c>
    </row>
    <row r="183" spans="24:30">
      <c r="X183" s="18">
        <v>45595.472187500003</v>
      </c>
      <c r="Y183" t="s">
        <v>68</v>
      </c>
      <c r="Z183" t="s">
        <v>9</v>
      </c>
      <c r="AA183" t="s">
        <v>667</v>
      </c>
      <c r="AB183">
        <v>0.27734132555869201</v>
      </c>
      <c r="AC183">
        <v>90</v>
      </c>
      <c r="AD183">
        <v>2</v>
      </c>
    </row>
    <row r="184" spans="24:30">
      <c r="X184" s="18">
        <v>45595.472245370373</v>
      </c>
      <c r="Y184" t="s">
        <v>68</v>
      </c>
      <c r="Z184" t="s">
        <v>9</v>
      </c>
      <c r="AA184" t="s">
        <v>668</v>
      </c>
      <c r="AB184">
        <v>0.27613354575096399</v>
      </c>
      <c r="AC184">
        <v>90</v>
      </c>
      <c r="AD184">
        <v>2</v>
      </c>
    </row>
    <row r="185" spans="24:30">
      <c r="X185" s="18">
        <v>45595.472303240742</v>
      </c>
      <c r="Y185" t="s">
        <v>68</v>
      </c>
      <c r="Z185" t="s">
        <v>9</v>
      </c>
      <c r="AA185" t="s">
        <v>669</v>
      </c>
      <c r="AB185">
        <v>0.27539178551774401</v>
      </c>
      <c r="AC185">
        <v>90</v>
      </c>
      <c r="AD185">
        <v>2</v>
      </c>
    </row>
    <row r="186" spans="24:30">
      <c r="X186" s="18">
        <v>45595.472361111111</v>
      </c>
      <c r="Y186" t="s">
        <v>68</v>
      </c>
      <c r="Z186" t="s">
        <v>9</v>
      </c>
      <c r="AA186" t="s">
        <v>670</v>
      </c>
      <c r="AB186">
        <v>0.27598409114175398</v>
      </c>
      <c r="AC186">
        <v>90</v>
      </c>
      <c r="AD186">
        <v>2</v>
      </c>
    </row>
    <row r="187" spans="24:30">
      <c r="X187" s="18">
        <v>45595.472418981481</v>
      </c>
      <c r="Y187" t="s">
        <v>68</v>
      </c>
      <c r="Z187" t="s">
        <v>9</v>
      </c>
      <c r="AA187" t="s">
        <v>671</v>
      </c>
      <c r="AB187">
        <v>0.27267276309057398</v>
      </c>
      <c r="AC187">
        <v>90</v>
      </c>
      <c r="AD187">
        <v>2</v>
      </c>
    </row>
    <row r="188" spans="24:30">
      <c r="X188" s="18">
        <v>45595.47247685185</v>
      </c>
      <c r="Y188" t="s">
        <v>68</v>
      </c>
      <c r="Z188" t="s">
        <v>9</v>
      </c>
      <c r="AA188" t="s">
        <v>672</v>
      </c>
      <c r="AB188">
        <v>0.26903983057638198</v>
      </c>
      <c r="AC188">
        <v>90</v>
      </c>
      <c r="AD188">
        <v>2</v>
      </c>
    </row>
    <row r="189" spans="24:30">
      <c r="X189" s="18">
        <v>45595.472534722219</v>
      </c>
      <c r="Y189" t="s">
        <v>68</v>
      </c>
      <c r="Z189" t="s">
        <v>9</v>
      </c>
      <c r="AA189" t="s">
        <v>673</v>
      </c>
      <c r="AB189">
        <v>0.274902005574507</v>
      </c>
      <c r="AC189">
        <v>90</v>
      </c>
      <c r="AD189">
        <v>2</v>
      </c>
    </row>
    <row r="190" spans="24:30">
      <c r="X190" s="18">
        <v>45595.472592592596</v>
      </c>
      <c r="Y190" t="s">
        <v>68</v>
      </c>
      <c r="Z190" t="s">
        <v>9</v>
      </c>
      <c r="AA190" t="s">
        <v>674</v>
      </c>
      <c r="AB190">
        <v>0.27819945112533501</v>
      </c>
      <c r="AC190">
        <v>90</v>
      </c>
      <c r="AD190">
        <v>2</v>
      </c>
    </row>
    <row r="191" spans="24:30">
      <c r="X191" s="18">
        <v>45595.472650462965</v>
      </c>
      <c r="Y191" t="s">
        <v>68</v>
      </c>
      <c r="Z191" t="s">
        <v>9</v>
      </c>
      <c r="AA191" t="s">
        <v>675</v>
      </c>
      <c r="AB191">
        <v>0.282793438843084</v>
      </c>
      <c r="AC191">
        <v>90</v>
      </c>
      <c r="AD191">
        <v>2</v>
      </c>
    </row>
    <row r="192" spans="24:30">
      <c r="X192" s="18">
        <v>45595.472708333335</v>
      </c>
      <c r="Y192" t="s">
        <v>68</v>
      </c>
      <c r="Z192" t="s">
        <v>9</v>
      </c>
      <c r="AA192" t="s">
        <v>676</v>
      </c>
      <c r="AB192">
        <v>0.27674774932825402</v>
      </c>
      <c r="AC192">
        <v>90</v>
      </c>
      <c r="AD192">
        <v>2</v>
      </c>
    </row>
    <row r="193" spans="24:30">
      <c r="X193" s="18">
        <v>45595.472766203704</v>
      </c>
      <c r="Y193" t="s">
        <v>68</v>
      </c>
      <c r="Z193" t="s">
        <v>9</v>
      </c>
      <c r="AA193" t="s">
        <v>677</v>
      </c>
      <c r="AB193">
        <v>0.27382697555035901</v>
      </c>
      <c r="AC193">
        <v>90</v>
      </c>
      <c r="AD193">
        <v>2</v>
      </c>
    </row>
    <row r="194" spans="24:30">
      <c r="X194" s="18">
        <v>45595.472824074073</v>
      </c>
      <c r="Y194" t="s">
        <v>68</v>
      </c>
      <c r="Z194" t="s">
        <v>9</v>
      </c>
      <c r="AA194" t="s">
        <v>678</v>
      </c>
      <c r="AB194">
        <v>0.27616713963254902</v>
      </c>
      <c r="AC194">
        <v>90</v>
      </c>
      <c r="AD194">
        <v>2</v>
      </c>
    </row>
    <row r="195" spans="24:30">
      <c r="X195" s="18">
        <v>45595.472881944443</v>
      </c>
      <c r="Y195" t="s">
        <v>68</v>
      </c>
      <c r="Z195" t="s">
        <v>9</v>
      </c>
      <c r="AA195" t="s">
        <v>679</v>
      </c>
      <c r="AB195">
        <v>0.27746743774342297</v>
      </c>
      <c r="AC195">
        <v>90</v>
      </c>
      <c r="AD195">
        <v>2</v>
      </c>
    </row>
    <row r="196" spans="24:30">
      <c r="X196" s="18">
        <v>45595.472939814812</v>
      </c>
      <c r="Y196" t="s">
        <v>68</v>
      </c>
      <c r="Z196" t="s">
        <v>9</v>
      </c>
      <c r="AA196" t="s">
        <v>680</v>
      </c>
      <c r="AB196">
        <v>0.27230327116652397</v>
      </c>
      <c r="AC196">
        <v>90</v>
      </c>
      <c r="AD196">
        <v>2</v>
      </c>
    </row>
    <row r="197" spans="24:30">
      <c r="X197" s="18">
        <v>45595.472997685189</v>
      </c>
      <c r="Y197" t="s">
        <v>68</v>
      </c>
      <c r="Z197" t="s">
        <v>9</v>
      </c>
      <c r="AA197" t="s">
        <v>681</v>
      </c>
      <c r="AB197">
        <v>0.28061737944484899</v>
      </c>
      <c r="AC197">
        <v>90</v>
      </c>
      <c r="AD197">
        <v>2</v>
      </c>
    </row>
    <row r="198" spans="24:30">
      <c r="X198" s="18">
        <v>45595.473055555558</v>
      </c>
      <c r="Y198" t="s">
        <v>68</v>
      </c>
      <c r="Z198" t="s">
        <v>9</v>
      </c>
      <c r="AA198" t="s">
        <v>682</v>
      </c>
      <c r="AB198">
        <v>0.27744382967453701</v>
      </c>
      <c r="AC198">
        <v>90</v>
      </c>
      <c r="AD198">
        <v>2</v>
      </c>
    </row>
    <row r="199" spans="24:30">
      <c r="X199" s="18">
        <v>45595.473113425927</v>
      </c>
      <c r="Y199" t="s">
        <v>68</v>
      </c>
      <c r="Z199" t="s">
        <v>9</v>
      </c>
      <c r="AA199" t="s">
        <v>683</v>
      </c>
      <c r="AB199">
        <v>0.27416022975846299</v>
      </c>
      <c r="AC199">
        <v>90</v>
      </c>
      <c r="AD199">
        <v>2</v>
      </c>
    </row>
    <row r="200" spans="24:30">
      <c r="X200" s="18">
        <v>45595.473171296297</v>
      </c>
      <c r="Y200" t="s">
        <v>68</v>
      </c>
      <c r="Z200" t="s">
        <v>9</v>
      </c>
      <c r="AA200" t="s">
        <v>684</v>
      </c>
      <c r="AB200">
        <v>0.27833959792621399</v>
      </c>
      <c r="AC200">
        <v>90</v>
      </c>
      <c r="AD200">
        <v>2</v>
      </c>
    </row>
    <row r="201" spans="24:30">
      <c r="X201" s="18">
        <v>45595.473229166666</v>
      </c>
      <c r="Y201" t="s">
        <v>68</v>
      </c>
      <c r="Z201" t="s">
        <v>9</v>
      </c>
      <c r="AA201" t="s">
        <v>685</v>
      </c>
      <c r="AB201">
        <v>0.28212520811254999</v>
      </c>
      <c r="AC201">
        <v>90</v>
      </c>
      <c r="AD201">
        <v>2</v>
      </c>
    </row>
    <row r="202" spans="24:30">
      <c r="X202" s="18">
        <v>45595.473287037035</v>
      </c>
      <c r="Y202" t="s">
        <v>68</v>
      </c>
      <c r="Z202" t="s">
        <v>9</v>
      </c>
      <c r="AA202" t="s">
        <v>686</v>
      </c>
      <c r="AB202">
        <v>0.27775476264972698</v>
      </c>
      <c r="AC202">
        <v>90</v>
      </c>
      <c r="AD202">
        <v>2</v>
      </c>
    </row>
    <row r="203" spans="24:30">
      <c r="X203" s="18">
        <v>45595.473344907405</v>
      </c>
      <c r="Y203" t="s">
        <v>68</v>
      </c>
      <c r="Z203" t="s">
        <v>9</v>
      </c>
      <c r="AA203" t="s">
        <v>687</v>
      </c>
      <c r="AB203">
        <v>0.27678545926872899</v>
      </c>
      <c r="AC203">
        <v>90</v>
      </c>
      <c r="AD203">
        <v>2</v>
      </c>
    </row>
    <row r="204" spans="24:30">
      <c r="X204" s="18">
        <v>45595.473402777781</v>
      </c>
      <c r="Y204" t="s">
        <v>68</v>
      </c>
      <c r="Z204" t="s">
        <v>9</v>
      </c>
      <c r="AA204" t="s">
        <v>688</v>
      </c>
      <c r="AB204">
        <v>0.27752489728982899</v>
      </c>
      <c r="AC204">
        <v>90</v>
      </c>
      <c r="AD204">
        <v>2</v>
      </c>
    </row>
    <row r="205" spans="24:30">
      <c r="X205" s="18">
        <v>45595.473460648151</v>
      </c>
      <c r="Y205" t="s">
        <v>68</v>
      </c>
      <c r="Z205" t="s">
        <v>9</v>
      </c>
      <c r="AA205" t="s">
        <v>689</v>
      </c>
      <c r="AB205">
        <v>0.273577383773566</v>
      </c>
      <c r="AC205">
        <v>90</v>
      </c>
      <c r="AD205">
        <v>2</v>
      </c>
    </row>
    <row r="206" spans="24:30">
      <c r="X206" s="18">
        <v>45595.47351851852</v>
      </c>
      <c r="Y206" t="s">
        <v>68</v>
      </c>
      <c r="Z206" t="s">
        <v>9</v>
      </c>
      <c r="AA206" t="s">
        <v>690</v>
      </c>
      <c r="AB206">
        <v>0.27628161878822899</v>
      </c>
      <c r="AC206">
        <v>90</v>
      </c>
      <c r="AD206">
        <v>2</v>
      </c>
    </row>
    <row r="207" spans="24:30">
      <c r="X207" s="18">
        <v>45595.473576388889</v>
      </c>
      <c r="Y207" t="s">
        <v>68</v>
      </c>
      <c r="Z207" t="s">
        <v>9</v>
      </c>
      <c r="AA207" t="s">
        <v>691</v>
      </c>
      <c r="AB207">
        <v>0.27342059829656001</v>
      </c>
      <c r="AC207">
        <v>90</v>
      </c>
      <c r="AD207">
        <v>2</v>
      </c>
    </row>
    <row r="208" spans="24:30">
      <c r="X208" s="18">
        <v>45595.473634259259</v>
      </c>
      <c r="Y208" t="s">
        <v>68</v>
      </c>
      <c r="Z208" t="s">
        <v>9</v>
      </c>
      <c r="AA208" t="s">
        <v>692</v>
      </c>
      <c r="AB208">
        <v>0.27695623371818701</v>
      </c>
      <c r="AC208">
        <v>90</v>
      </c>
      <c r="AD208">
        <v>2</v>
      </c>
    </row>
    <row r="209" spans="24:30">
      <c r="X209" s="18">
        <v>45595.473692129628</v>
      </c>
      <c r="Y209" t="s">
        <v>68</v>
      </c>
      <c r="Z209" t="s">
        <v>9</v>
      </c>
      <c r="AA209" t="s">
        <v>693</v>
      </c>
      <c r="AB209">
        <v>0.28196748301779301</v>
      </c>
      <c r="AC209">
        <v>90</v>
      </c>
      <c r="AD209">
        <v>2</v>
      </c>
    </row>
    <row r="210" spans="24:30">
      <c r="X210" s="18">
        <v>45595.473749999997</v>
      </c>
      <c r="Y210" t="s">
        <v>68</v>
      </c>
      <c r="Z210" t="s">
        <v>9</v>
      </c>
      <c r="AA210" t="s">
        <v>694</v>
      </c>
      <c r="AB210">
        <v>0.27763209289825003</v>
      </c>
      <c r="AC210">
        <v>90</v>
      </c>
      <c r="AD210">
        <v>2</v>
      </c>
    </row>
    <row r="211" spans="24:30">
      <c r="X211" s="18">
        <v>45595.473807870374</v>
      </c>
      <c r="Y211" t="s">
        <v>68</v>
      </c>
      <c r="Z211" t="s">
        <v>9</v>
      </c>
      <c r="AA211" t="s">
        <v>695</v>
      </c>
      <c r="AB211">
        <v>0.27460546725875301</v>
      </c>
      <c r="AC211">
        <v>90</v>
      </c>
      <c r="AD211">
        <v>2</v>
      </c>
    </row>
    <row r="212" spans="24:30">
      <c r="X212" s="18">
        <v>45595.473865740743</v>
      </c>
      <c r="Y212" t="s">
        <v>68</v>
      </c>
      <c r="Z212" t="s">
        <v>9</v>
      </c>
      <c r="AA212" t="s">
        <v>696</v>
      </c>
      <c r="AB212">
        <v>0.27655644539181401</v>
      </c>
      <c r="AC212">
        <v>90</v>
      </c>
      <c r="AD212">
        <v>2</v>
      </c>
    </row>
    <row r="213" spans="24:30">
      <c r="X213" s="18">
        <v>45595.473923611113</v>
      </c>
      <c r="Y213" t="s">
        <v>68</v>
      </c>
      <c r="Z213" t="s">
        <v>9</v>
      </c>
      <c r="AA213" t="s">
        <v>697</v>
      </c>
      <c r="AB213">
        <v>0.27404676518997401</v>
      </c>
      <c r="AC213">
        <v>90</v>
      </c>
      <c r="AD213">
        <v>2</v>
      </c>
    </row>
    <row r="214" spans="24:30">
      <c r="X214" s="18">
        <v>45595.473981481482</v>
      </c>
      <c r="Y214" t="s">
        <v>68</v>
      </c>
      <c r="Z214" t="s">
        <v>9</v>
      </c>
      <c r="AA214" t="s">
        <v>698</v>
      </c>
      <c r="AB214">
        <v>0.28065210514571698</v>
      </c>
      <c r="AC214">
        <v>90</v>
      </c>
      <c r="AD214">
        <v>2</v>
      </c>
    </row>
  </sheetData>
  <mergeCells count="4">
    <mergeCell ref="A1:K1"/>
    <mergeCell ref="M1:W1"/>
    <mergeCell ref="X1:AH1"/>
    <mergeCell ref="AI1:AS1"/>
  </mergeCells>
  <phoneticPr fontId="1" type="noConversion"/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Jackson R. Page-Roth</dc:creator>
  <cp:keywords/>
  <dc:description/>
  <cp:lastModifiedBy>Gio Kanaan</cp:lastModifiedBy>
  <cp:revision/>
  <dcterms:created xsi:type="dcterms:W3CDTF">2024-10-18T20:51:34Z</dcterms:created>
  <dcterms:modified xsi:type="dcterms:W3CDTF">2024-11-12T02:15:01Z</dcterms:modified>
  <cp:category/>
  <cp:contentStatus/>
</cp:coreProperties>
</file>